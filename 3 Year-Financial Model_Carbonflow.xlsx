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2b2d40dc143c8/Desktop/Carbonflow/"/>
    </mc:Choice>
  </mc:AlternateContent>
  <xr:revisionPtr revIDLastSave="290" documentId="13_ncr:1_{066DE604-7CF6-4C51-A32E-18DD6315B099}" xr6:coauthVersionLast="47" xr6:coauthVersionMax="47" xr10:uidLastSave="{C6DCFFA2-7E0A-4386-83DE-F1BD42ED3F77}"/>
  <bookViews>
    <workbookView xWindow="-110" yWindow="-110" windowWidth="19420" windowHeight="11500" activeTab="1" xr2:uid="{8B3A91F9-42AB-4DEE-BC5C-D10A80C8B0B8}"/>
  </bookViews>
  <sheets>
    <sheet name="Income Statement" sheetId="2" r:id="rId1"/>
    <sheet name="Employee Costs" sheetId="6" r:id="rId2"/>
    <sheet name="Cost of Sales Drivers" sheetId="5" r:id="rId3"/>
    <sheet name="Balance Sheet" sheetId="3" r:id="rId4"/>
    <sheet name="Cashflow Statemen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2" l="1"/>
  <c r="C50" i="2" s="1"/>
  <c r="C11" i="2" s="1"/>
  <c r="C48" i="2"/>
  <c r="C44" i="2"/>
  <c r="C43" i="2"/>
  <c r="C42" i="2"/>
  <c r="E16" i="4"/>
  <c r="D16" i="4"/>
  <c r="C16" i="4"/>
  <c r="E15" i="4"/>
  <c r="D15" i="4"/>
  <c r="C15" i="4"/>
  <c r="E11" i="4"/>
  <c r="D11" i="4"/>
  <c r="E10" i="4"/>
  <c r="D10" i="4"/>
  <c r="E9" i="4"/>
  <c r="D9" i="4"/>
  <c r="E8" i="4"/>
  <c r="D8" i="4"/>
  <c r="E24" i="4"/>
  <c r="D24" i="4"/>
  <c r="C24" i="4"/>
  <c r="E17" i="4"/>
  <c r="D17" i="4"/>
  <c r="C17" i="4"/>
  <c r="E6" i="4"/>
  <c r="D6" i="4"/>
  <c r="C6" i="4"/>
  <c r="C11" i="3"/>
  <c r="E51" i="3"/>
  <c r="E11" i="3" s="1"/>
  <c r="D51" i="3"/>
  <c r="D11" i="3" s="1"/>
  <c r="C51" i="3"/>
  <c r="E47" i="3"/>
  <c r="E12" i="3" s="1"/>
  <c r="D47" i="3"/>
  <c r="D12" i="3" s="1"/>
  <c r="C47" i="3"/>
  <c r="C12" i="3" s="1"/>
  <c r="E26" i="3"/>
  <c r="D26" i="3"/>
  <c r="C26" i="3"/>
  <c r="E21" i="3"/>
  <c r="D21" i="3"/>
  <c r="C21" i="3"/>
  <c r="C27" i="3" s="1"/>
  <c r="E72" i="2"/>
  <c r="E18" i="2" s="1"/>
  <c r="D72" i="2"/>
  <c r="D18" i="2" s="1"/>
  <c r="C72" i="2"/>
  <c r="C18" i="2" s="1"/>
  <c r="E67" i="2"/>
  <c r="E19" i="2" s="1"/>
  <c r="D67" i="2"/>
  <c r="D19" i="2" s="1"/>
  <c r="C67" i="2"/>
  <c r="C19" i="2" s="1"/>
  <c r="E58" i="2"/>
  <c r="E17" i="2" s="1"/>
  <c r="D58" i="2"/>
  <c r="D17" i="2" s="1"/>
  <c r="C58" i="2"/>
  <c r="C17" i="2" s="1"/>
  <c r="E50" i="2"/>
  <c r="E11" i="2" s="1"/>
  <c r="D50" i="2"/>
  <c r="D11" i="2" s="1"/>
  <c r="E45" i="2"/>
  <c r="D45" i="2"/>
  <c r="D46" i="2" s="1"/>
  <c r="D10" i="2" s="1"/>
  <c r="D12" i="2" s="1"/>
  <c r="E46" i="2"/>
  <c r="E10" i="2" s="1"/>
  <c r="E12" i="2" s="1"/>
  <c r="E39" i="2"/>
  <c r="E6" i="2" s="1"/>
  <c r="D39" i="2"/>
  <c r="D6" i="2" s="1"/>
  <c r="C39" i="2"/>
  <c r="C6" i="2" s="1"/>
  <c r="E36" i="2"/>
  <c r="E5" i="2" s="1"/>
  <c r="D36" i="2"/>
  <c r="D5" i="2" s="1"/>
  <c r="C36" i="2"/>
  <c r="C5" i="2" s="1"/>
  <c r="C45" i="2" l="1"/>
  <c r="C46" i="2"/>
  <c r="C10" i="2" s="1"/>
  <c r="C12" i="2" s="1"/>
  <c r="D27" i="3"/>
  <c r="E27" i="3"/>
  <c r="D13" i="3"/>
  <c r="E13" i="3"/>
  <c r="C13" i="3"/>
  <c r="E7" i="2"/>
  <c r="C7" i="2"/>
  <c r="D7" i="2"/>
  <c r="E14" i="2" l="1"/>
  <c r="E20" i="2" s="1"/>
  <c r="E22" i="2" s="1"/>
  <c r="E26" i="2" s="1"/>
  <c r="E28" i="2" s="1"/>
  <c r="E43" i="3"/>
  <c r="E6" i="3" s="1"/>
  <c r="E55" i="3"/>
  <c r="D14" i="2"/>
  <c r="D20" i="2" s="1"/>
  <c r="D22" i="2" s="1"/>
  <c r="D26" i="2" s="1"/>
  <c r="D28" i="2" s="1"/>
  <c r="D55" i="3"/>
  <c r="D43" i="3"/>
  <c r="D6" i="3" s="1"/>
  <c r="C14" i="2"/>
  <c r="C20" i="2" s="1"/>
  <c r="C22" i="2" s="1"/>
  <c r="C26" i="2" s="1"/>
  <c r="C28" i="2" s="1"/>
  <c r="C55" i="3"/>
  <c r="C43" i="3"/>
  <c r="C6" i="3" s="1"/>
  <c r="E7" i="4" l="1"/>
  <c r="D5" i="4"/>
  <c r="D33" i="3"/>
  <c r="D35" i="3" s="1"/>
  <c r="C33" i="3"/>
  <c r="C5" i="4"/>
  <c r="C12" i="4" s="1"/>
  <c r="C26" i="4" s="1"/>
  <c r="C29" i="4" s="1"/>
  <c r="D7" i="4"/>
  <c r="E5" i="4"/>
  <c r="E33" i="3"/>
  <c r="E35" i="3" s="1"/>
  <c r="E12" i="4" l="1"/>
  <c r="E26" i="4" s="1"/>
  <c r="D27" i="4"/>
  <c r="C5" i="3"/>
  <c r="C9" i="3" s="1"/>
  <c r="C14" i="3" s="1"/>
  <c r="C35" i="3"/>
  <c r="C34" i="3"/>
  <c r="D32" i="3" s="1"/>
  <c r="D34" i="3" s="1"/>
  <c r="E32" i="3" s="1"/>
  <c r="E34" i="3" s="1"/>
  <c r="D12" i="4"/>
  <c r="D26" i="4" s="1"/>
  <c r="D29" i="4" l="1"/>
  <c r="D5" i="3" l="1"/>
  <c r="D9" i="3" s="1"/>
  <c r="D14" i="3" s="1"/>
  <c r="E27" i="4"/>
  <c r="E29" i="4" s="1"/>
  <c r="E5" i="3" s="1"/>
  <c r="E9" i="3" s="1"/>
  <c r="E14" i="3" s="1"/>
</calcChain>
</file>

<file path=xl/sharedStrings.xml><?xml version="1.0" encoding="utf-8"?>
<sst xmlns="http://schemas.openxmlformats.org/spreadsheetml/2006/main" count="384" uniqueCount="324">
  <si>
    <t>2026E</t>
  </si>
  <si>
    <t>2027E</t>
  </si>
  <si>
    <t>2028E</t>
  </si>
  <si>
    <t>Licensing &amp; Subscription</t>
  </si>
  <si>
    <t>Total Revenue</t>
  </si>
  <si>
    <t>Cost of Licensing &amp; Subscription</t>
  </si>
  <si>
    <t>Cost of Sales</t>
  </si>
  <si>
    <t>Gross Profit</t>
  </si>
  <si>
    <t>Sales &amp; Marketing</t>
  </si>
  <si>
    <t>Research &amp; Development</t>
  </si>
  <si>
    <t>General &amp; Admin</t>
  </si>
  <si>
    <t>Operating Costs</t>
  </si>
  <si>
    <t>Interest</t>
  </si>
  <si>
    <t>Taxes</t>
  </si>
  <si>
    <t>Profit Before Tax</t>
  </si>
  <si>
    <t>PAT/Net Income</t>
  </si>
  <si>
    <t>Revenue</t>
  </si>
  <si>
    <t>Revenue from Licensing/Subscription</t>
  </si>
  <si>
    <t>Managed Services</t>
  </si>
  <si>
    <t>Cost of Managed Services</t>
  </si>
  <si>
    <t>Other Income/Expense (Grants, etc.)</t>
  </si>
  <si>
    <t>Managed Service Fee</t>
  </si>
  <si>
    <t>Revenue from Managed Services</t>
  </si>
  <si>
    <t xml:space="preserve">D&amp;A </t>
  </si>
  <si>
    <t>EBITDA</t>
  </si>
  <si>
    <t>Operating Profit (EBIT)</t>
  </si>
  <si>
    <t>Cloud &amp; Infrastructure Costs</t>
  </si>
  <si>
    <t>API Licensing Costs</t>
  </si>
  <si>
    <t>Databases, feature stores, servicing platforms</t>
  </si>
  <si>
    <t>People Cost</t>
  </si>
  <si>
    <t>Cost of Licensing/Subscription</t>
  </si>
  <si>
    <t>Tools/Infra Cost for Managed Services</t>
  </si>
  <si>
    <t>Revenue Assumptions</t>
  </si>
  <si>
    <t>Operating Costs Assumptions</t>
  </si>
  <si>
    <t>Notes</t>
  </si>
  <si>
    <t>Website Hosting Fees</t>
  </si>
  <si>
    <t>Domain Name Fees</t>
  </si>
  <si>
    <t>CRM/Lead Databases/Analytics Tools</t>
  </si>
  <si>
    <t>(in Mn Pounds)</t>
  </si>
  <si>
    <t>3 Year Income Statement</t>
  </si>
  <si>
    <t>Total Sales &amp; Marketing Cost</t>
  </si>
  <si>
    <t>Office &amp; Workspace</t>
  </si>
  <si>
    <t>Legal &amp; Compliance</t>
  </si>
  <si>
    <t>Accounting &amp; Finance</t>
  </si>
  <si>
    <t>IT/Corporate Tools</t>
  </si>
  <si>
    <t>Employee Costs</t>
  </si>
  <si>
    <t>Directors &amp; Officers (D&amp;O) insurance</t>
  </si>
  <si>
    <t>Corporate Banking Fees</t>
  </si>
  <si>
    <t>General &amp; Admin Cost</t>
  </si>
  <si>
    <t xml:space="preserve">Specialized Research Team </t>
  </si>
  <si>
    <t>Compute &amp; Storage Resources</t>
  </si>
  <si>
    <t>Databases and API Licensing</t>
  </si>
  <si>
    <t>R&amp;D Cost</t>
  </si>
  <si>
    <t>Income Statement Drivers &amp; Assumptions</t>
  </si>
  <si>
    <t>3 Year Balance Sheet</t>
  </si>
  <si>
    <t>Assets</t>
  </si>
  <si>
    <t>Current Assets</t>
  </si>
  <si>
    <t>Cash &amp; Cash Equivalents</t>
  </si>
  <si>
    <t>Accounts Receivable</t>
  </si>
  <si>
    <t>Prepaid Expenses</t>
  </si>
  <si>
    <t>R&amp;D Tax Credit Receivable</t>
  </si>
  <si>
    <t>UK SME Scheme cash inflow</t>
  </si>
  <si>
    <t>Property,Plant &amp; Equipments (PP&amp;E)</t>
  </si>
  <si>
    <t>Laptops, Servers, etc.</t>
  </si>
  <si>
    <t>Intangible Assets</t>
  </si>
  <si>
    <t>Patents if Any</t>
  </si>
  <si>
    <t>Non-Current Assets</t>
  </si>
  <si>
    <t>Total Assets</t>
  </si>
  <si>
    <t>Liabilities</t>
  </si>
  <si>
    <t>Short Term Debt</t>
  </si>
  <si>
    <t xml:space="preserve">If Debt is to be taken </t>
  </si>
  <si>
    <t>Accounts Payable</t>
  </si>
  <si>
    <t>Accrued Expenses</t>
  </si>
  <si>
    <t>Salaries or Cloud &amp; Infra Bills</t>
  </si>
  <si>
    <t>Deferred Revenue</t>
  </si>
  <si>
    <t>Customer Pre-payments</t>
  </si>
  <si>
    <t>Current Liabilities</t>
  </si>
  <si>
    <t>Long Term Debt</t>
  </si>
  <si>
    <t>Long Term Deferred Revenue</t>
  </si>
  <si>
    <t>Multi Year Contracts</t>
  </si>
  <si>
    <t>Lease Liabilities</t>
  </si>
  <si>
    <t>If Office Space is leased</t>
  </si>
  <si>
    <t>Non-Current Liabilites</t>
  </si>
  <si>
    <t>Total Liabilities</t>
  </si>
  <si>
    <t>Equity</t>
  </si>
  <si>
    <t>Share Capital</t>
  </si>
  <si>
    <t>Share Premium</t>
  </si>
  <si>
    <t>Funds above Par Value</t>
  </si>
  <si>
    <t>Retained Earnings</t>
  </si>
  <si>
    <t>BOP</t>
  </si>
  <si>
    <t>Net Income</t>
  </si>
  <si>
    <t>Total Equity</t>
  </si>
  <si>
    <t>Any funding Inflows</t>
  </si>
  <si>
    <t>Balance Sheet Drivers &amp; Assumptions</t>
  </si>
  <si>
    <t>Accounts Receivables</t>
  </si>
  <si>
    <t>DSO (Days)</t>
  </si>
  <si>
    <t>Assume based on Payment Days</t>
  </si>
  <si>
    <t>Are there any prepayments to be made?</t>
  </si>
  <si>
    <t>Patents Value</t>
  </si>
  <si>
    <t>Accumulated Amortization</t>
  </si>
  <si>
    <t>Net Intangibles</t>
  </si>
  <si>
    <t>If any Patents</t>
  </si>
  <si>
    <t>Cost of Laptops, Servers</t>
  </si>
  <si>
    <t>Accumulated Depreciation</t>
  </si>
  <si>
    <t>Net PP&amp;E</t>
  </si>
  <si>
    <t>DPO (Days)</t>
  </si>
  <si>
    <t>3 Year Cashflow Statement</t>
  </si>
  <si>
    <t>(+) D&amp;A</t>
  </si>
  <si>
    <t>(+/-) Change in Accounts Receivable</t>
  </si>
  <si>
    <t>(+/-) Change in Prepaid Expenses</t>
  </si>
  <si>
    <t>(+/-) Change in Account Payable</t>
  </si>
  <si>
    <t>(+/-) Change in Accrued Expenses</t>
  </si>
  <si>
    <t>(+/-) Change in Deferred Expenses</t>
  </si>
  <si>
    <t>Net Cash from Operating Activities</t>
  </si>
  <si>
    <t>Cash from Operating Activities</t>
  </si>
  <si>
    <t>Cash from Investing Activities</t>
  </si>
  <si>
    <t>Purchase of PP&amp;E</t>
  </si>
  <si>
    <t>Capital for Development of Intangibles</t>
  </si>
  <si>
    <t>Cash from Financing Activities</t>
  </si>
  <si>
    <t>Proceeds from Equity Funding</t>
  </si>
  <si>
    <t>Proceeds from Grants (Non-Repayable)</t>
  </si>
  <si>
    <t>Proceeds from Borrowings</t>
  </si>
  <si>
    <t>Repayments of Borrowings/Lease</t>
  </si>
  <si>
    <t>Net Cash from Financing Activities</t>
  </si>
  <si>
    <t>Increase/Decrease in Cash &amp; Cash Equivalents</t>
  </si>
  <si>
    <t>Beginning of Period Cash &amp; Cash Equivalents</t>
  </si>
  <si>
    <t>End of Period Cash &amp; Cash Equivalents</t>
  </si>
  <si>
    <t>Check Cash in Bank</t>
  </si>
  <si>
    <t>Based on Funding Info</t>
  </si>
  <si>
    <t>Number of SMEs Acquired</t>
  </si>
  <si>
    <t>Paid APIs (LLMs)</t>
  </si>
  <si>
    <t>Pricing</t>
  </si>
  <si>
    <t>Cost of Sales Assumptions (Per Customer)</t>
  </si>
  <si>
    <t>Infrastructure Cost</t>
  </si>
  <si>
    <t>Cost Component</t>
  </si>
  <si>
    <t>Rate</t>
  </si>
  <si>
    <t>Per Query (Energy Analysis)</t>
  </si>
  <si>
    <t>Monthly Per Customer</t>
  </si>
  <si>
    <t>Input Tokens</t>
  </si>
  <si>
    <t>$0.625 per 1M tokens</t>
  </si>
  <si>
    <t>£0.60</t>
  </si>
  <si>
    <t>Output Tokens</t>
  </si>
  <si>
    <t>$5.00 per 1M tokens</t>
  </si>
  <si>
    <t>£0.36</t>
  </si>
  <si>
    <t>Fine-Tuning (Training)</t>
  </si>
  <si>
    <t>$25 per 1M tokens</t>
  </si>
  <si>
    <t>One-time</t>
  </si>
  <si>
    <t>—</t>
  </si>
  <si>
    <t>Total Per Query</t>
  </si>
  <si>
    <t>LLM API Licensing (GPT-5 Fine-Tuned)</t>
  </si>
  <si>
    <t>Cloud &amp; Infrastructure Costs (Multi-Tenant AWS)</t>
  </si>
  <si>
    <t>Cost Item</t>
  </si>
  <si>
    <t>Monthly Per 5-Customer Group</t>
  </si>
  <si>
    <t>Per Customer/Month</t>
  </si>
  <si>
    <t>Annual Per Customer</t>
  </si>
  <si>
    <t>Compute (EC2)</t>
  </si>
  <si>
    <t>£40</t>
  </si>
  <si>
    <t>£8</t>
  </si>
  <si>
    <t>£96</t>
  </si>
  <si>
    <t>Database (Aurora PostgreSQL)</t>
  </si>
  <si>
    <t>£25</t>
  </si>
  <si>
    <t>£5</t>
  </si>
  <si>
    <t>£60</t>
  </si>
  <si>
    <t>Storage &amp; CDN</t>
  </si>
  <si>
    <t>£1.60</t>
  </si>
  <si>
    <t>£19.20</t>
  </si>
  <si>
    <t>Monitoring &amp; Logging</t>
  </si>
  <si>
    <t>£4</t>
  </si>
  <si>
    <t>£0.80</t>
  </si>
  <si>
    <t>£9.60</t>
  </si>
  <si>
    <t>Data Transfer</t>
  </si>
  <si>
    <t>Security &amp; Compliance</t>
  </si>
  <si>
    <t>Backup &amp; DR</t>
  </si>
  <si>
    <t>£13</t>
  </si>
  <si>
    <t>£2.60</t>
  </si>
  <si>
    <t>£31.20</t>
  </si>
  <si>
    <t>TOTAL</t>
  </si>
  <si>
    <t>Sources</t>
  </si>
  <si>
    <t>https://platform.openai.com/docs/pricing</t>
  </si>
  <si>
    <t>1. https://aws.amazon.com/blogs/apn/calculating-tenant-costs-in-saas-environments/
2. https://www.cloudzero.com/blog/saas-gross-margin-benchmarks/</t>
  </si>
  <si>
    <t>Additional Datasets for Model Training</t>
  </si>
  <si>
    <t>Data Source</t>
  </si>
  <si>
    <t>Cost</t>
  </si>
  <si>
    <t>What You Get</t>
  </si>
  <si>
    <t>URL</t>
  </si>
  <si>
    <t>UK Elexon Grid Data</t>
  </si>
  <si>
    <t>FREE</t>
  </si>
  <si>
    <t>Real-time + historical UK electricity pricing, demand, generation (5-min intervals, 5+ years)</t>
  </si>
  <si>
    <t>https://adgefficiency.com/blog/elexon-api-uk-electricity-grid-data-with-python/</t>
  </si>
  <si>
    <t>Energy Dashboard UK</t>
  </si>
  <si>
    <t>Real-time grid carbon intensity, generation mix, renewable %), updated 5-30 mins</t>
  </si>
  <si>
    <t>https://www.energydashboard.co.uk/live</t>
  </si>
  <si>
    <t>UK Power Networks OpenData</t>
  </si>
  <si>
    <t>Network topology, 1,000 generation sites, capacity data, renewable connections</t>
  </si>
  <si>
    <t>https://www.ukpowernetworks.co.uk/our-company/open-data-portal</t>
  </si>
  <si>
    <t>EIA CBECS (US)</t>
  </si>
  <si>
    <t>5.6M commercial building benchmarks, consumption by end-use, heating/cooling/lighting breakdowns</t>
  </si>
  <si>
    <t>https://www.eia.gov/consumption/commercial/</t>
  </si>
  <si>
    <t>Electricity Costs API</t>
  </si>
  <si>
    <t>GB regional electricity costs (p/kWh), commodity + network charges, by DNO region</t>
  </si>
  <si>
    <t>https://electricitycosts.org.uk/api/</t>
  </si>
  <si>
    <t>Open-Power-System-Data</t>
  </si>
  <si>
    <t>European grid loading, wind/solar production, prices, capacity data (CSV, commercial use ok)</t>
  </si>
  <si>
    <t>https://data.open-power-system-data.org/</t>
  </si>
  <si>
    <t>IEA Wind SCADA</t>
  </si>
  <si>
    <t>4+ years real wind farm SCADA (10-min intervals), equipment performance patterns</t>
  </si>
  <si>
    <t>https://iea-wind.org/task43/task-43-open-data/</t>
  </si>
  <si>
    <t>Modo Energy API</t>
  </si>
  <si>
    <t>California ISO market data (LMPs, battery dispatch, ancillary services) – learning reference</t>
  </si>
  <si>
    <t>https://modoenergy.com/research/en/free-energy-market-data</t>
  </si>
  <si>
    <t>Public Datasets (Kaggle)</t>
  </si>
  <si>
    <t>General building energy cost datasets, residential + commercial patterns</t>
  </si>
  <si>
    <t>https://www.kaggle.com/datasets/andreylss/residential-and-commercial-energy-cost-dataset</t>
  </si>
  <si>
    <t>UC Berkeley Building Dataset</t>
  </si>
  <si>
    <t>3-year office building operational data (6-min intervals, end-use metering)</t>
  </si>
  <si>
    <t>https://openenergyhub.ornl.gov/</t>
  </si>
  <si>
    <t>Best For</t>
  </si>
  <si>
    <t>Cogent DataHub License</t>
  </si>
  <si>
    <t>£2,500-5,000/year</t>
  </si>
  <si>
    <t>Industrial SCADA data collection platform (Modbus, OPC-UA, BACnet support)</t>
  </si>
  <si>
    <t>Connecting to 50-100 customer buildingscogentdatahub​</t>
  </si>
  <si>
    <t>https://cogentdatahub.com/purchasing/</t>
  </si>
  <si>
    <t>EnergyID Premium</t>
  </si>
  <si>
    <t>£1,200-2,400/year</t>
  </si>
  <si>
    <t>EU building energy data, peer benchmarking, half-hourly metering (10-20 buildings)</t>
  </si>
  <si>
    <t>European market expansionenergyid​</t>
  </si>
  <si>
    <t>https://www.energyid.eu/en/pricing/</t>
  </si>
  <si>
    <t>Facilities Mgmt Partnership</t>
  </si>
  <si>
    <t>£500-5,000/year</t>
  </si>
  <si>
    <t>Access to 50-200 buildings (Mitie, Arcus, Engie properties)</t>
  </si>
  <si>
    <t>Real SME/commercial consumption dataintegrate+1​</t>
  </si>
  <si>
    <t>Partner agreements</t>
  </si>
  <si>
    <t>Synthetic Data Generation</t>
  </si>
  <si>
    <t>£5,000-10,000/year</t>
  </si>
  <si>
    <t>Fill gaps in real data via AI-generated building consumption profiles</t>
  </si>
  <si>
    <t>Scale training data 10xbigdasolutions​</t>
  </si>
  <si>
    <t>Custom vendors</t>
  </si>
  <si>
    <t>Bloomberg New Energy Finance</t>
  </si>
  <si>
    <t>£25,000-50,000/year</t>
  </si>
  <si>
    <t>Global renewable pricing trends, battery cost data, market forecasts</t>
  </si>
  <si>
    <t>Market context (not real-time ops)wallstreetprep+1​</t>
  </si>
  <si>
    <t>Yes Energy/PowerSignals</t>
  </si>
  <si>
    <t>£10,000+/year</t>
  </si>
  <si>
    <t>Ontario (IESO) market data, demand forecasts, nodal pricing</t>
  </si>
  <si>
    <t>If expanding to Canadayesenergy​</t>
  </si>
  <si>
    <t>CAISO Historical Data</t>
  </si>
  <si>
    <t>Custom</t>
  </si>
  <si>
    <t>Advanced grid pricing, congestion patterns</t>
  </si>
  <si>
    <t>If entering California marketcaiso​</t>
  </si>
  <si>
    <t>Coverage</t>
  </si>
  <si>
    <t>MVP/Free Tier</t>
  </si>
  <si>
    <t>UK building benchmarks + grid data</t>
  </si>
  <si>
    <t>8+ free sourceselectricitycosts+6​</t>
  </si>
  <si>
    <t>Growth Tier</t>
  </si>
  <si>
    <t>Real SME data partnerships + commercial tools</t>
  </si>
  <si>
    <t>Cogent DataHub + facility partnershipsintegrate+1​</t>
  </si>
  <si>
    <t>Enterprise Tier</t>
  </si>
  <si>
    <t>Full market data + synthetic generation</t>
  </si>
  <si>
    <t>Bloomberg BNEF + YES Energywallstreetprep+1​</t>
  </si>
  <si>
    <t>Dataset Pricing</t>
  </si>
  <si>
    <t>Annual Cost (Pounds)</t>
  </si>
  <si>
    <t>Role</t>
  </si>
  <si>
    <t>Base Salary</t>
  </si>
  <si>
    <t>Fully-Loaded (with 35% on-costs)</t>
  </si>
  <si>
    <t>Per Customer Cost (÷12 customers)</t>
  </si>
  <si>
    <t>Service Engineer</t>
  </si>
  <si>
    <t>£40,000</t>
  </si>
  <si>
    <t>£54,000</t>
  </si>
  <si>
    <t>£4,500</t>
  </si>
  <si>
    <t>Implementation Consultant</t>
  </si>
  <si>
    <t>£52,500</t>
  </si>
  <si>
    <t>£70,875</t>
  </si>
  <si>
    <t>£5,906</t>
  </si>
  <si>
    <t>Senior/Lead</t>
  </si>
  <si>
    <t>£60,000</t>
  </si>
  <si>
    <t>£81,000</t>
  </si>
  <si>
    <t>£6,750</t>
  </si>
  <si>
    <r>
      <t>Support/Admin</t>
    </r>
    <r>
      <rPr>
        <sz val="11"/>
        <color theme="1"/>
        <rFont val="Arial"/>
        <family val="2"/>
      </rPr>
      <t xml:space="preserve"> (0.25 FTE)</t>
    </r>
  </si>
  <si>
    <t>£32,000</t>
  </si>
  <si>
    <t>£43,200</t>
  </si>
  <si>
    <t>£360</t>
  </si>
  <si>
    <t>TOTAL (Per Customer)</t>
  </si>
  <si>
    <t>Managed Services Costs</t>
  </si>
  <si>
    <t>https://www.itjobboard.co.uk/blog/98/top-uk-it-roles-with-biggest-salary-growth-in-2025 
https://www.select.co.uk/blog/2025/12/engineering-salary-guide-2025</t>
  </si>
  <si>
    <t>Cost/Year</t>
  </si>
  <si>
    <t>Purpose</t>
  </si>
  <si>
    <t>TeamViewer Pro</t>
  </si>
  <si>
    <t>£350-450</t>
  </si>
  <si>
    <t>Remote access + file transfer</t>
  </si>
  <si>
    <t>Zoho Assist</t>
  </si>
  <si>
    <t>£120-180</t>
  </si>
  <si>
    <t>Remote support + chat</t>
  </si>
  <si>
    <t>Freshdesk</t>
  </si>
  <si>
    <t>£180-720</t>
  </si>
  <si>
    <t>Help desk ticket system</t>
  </si>
  <si>
    <t>Tools &amp; Infrastructure</t>
  </si>
  <si>
    <t>Total</t>
  </si>
  <si>
    <t>Team Structure &amp; Employee Cost</t>
  </si>
  <si>
    <t>Headcount</t>
  </si>
  <si>
    <t>Salary</t>
  </si>
  <si>
    <t>Responsibility</t>
  </si>
  <si>
    <t>£0-20K</t>
  </si>
  <si>
    <t>CTO/Lead Engineer</t>
  </si>
  <si>
    <t>£90K</t>
  </si>
  <si>
    <t>Product development, architecture</t>
  </si>
  <si>
    <t>Backend Engineer</t>
  </si>
  <si>
    <t>£70K</t>
  </si>
  <si>
    <t>Core engineering</t>
  </si>
  <si>
    <t>ML/AI Engineer</t>
  </si>
  <si>
    <t>£50K</t>
  </si>
  <si>
    <t>LLM fine-tuning (contract/part-time)</t>
  </si>
  <si>
    <t>Growth/Marketing Person</t>
  </si>
  <si>
    <t>£45K</t>
  </si>
  <si>
    <t>Content, analytics, customer success (ONE person does it all)</t>
  </si>
  <si>
    <t>Part-Time Finance/Ops</t>
  </si>
  <si>
    <t>£20K</t>
  </si>
  <si>
    <t>Accounting, compliance</t>
  </si>
  <si>
    <t>5.3 FTE</t>
  </si>
  <si>
    <t>£275K</t>
  </si>
  <si>
    <t>COO/Co-Founder</t>
  </si>
  <si>
    <t>CEO/Co-Founder</t>
  </si>
  <si>
    <t>Operations, Energy SME, Fundraising</t>
  </si>
  <si>
    <t>Sales, strategy, Fundraising</t>
  </si>
  <si>
    <t>Salary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</si>
</sst>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43" fontId="0" fillId="0" borderId="0" xfId="1" applyFont="1"/>
    <xf numFmtId="43" fontId="4" fillId="0" borderId="1" xfId="1" applyFont="1" applyBorder="1"/>
    <xf numFmtId="43" fontId="0" fillId="0" borderId="1" xfId="1" applyFont="1" applyBorder="1"/>
    <xf numFmtId="43" fontId="5" fillId="0" borderId="0" xfId="1" applyFont="1"/>
    <xf numFmtId="43" fontId="6" fillId="0" borderId="0" xfId="1" applyFont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43" fontId="7" fillId="0" borderId="0" xfId="1" applyFont="1"/>
    <xf numFmtId="43" fontId="3" fillId="0" borderId="0" xfId="1" applyFont="1"/>
    <xf numFmtId="43" fontId="0" fillId="0" borderId="0" xfId="0" applyNumberFormat="1"/>
    <xf numFmtId="43" fontId="3" fillId="0" borderId="0" xfId="0" applyNumberFormat="1" applyFont="1"/>
    <xf numFmtId="43" fontId="3" fillId="0" borderId="1" xfId="0" applyNumberFormat="1" applyFont="1" applyBorder="1"/>
    <xf numFmtId="43" fontId="3" fillId="0" borderId="1" xfId="1" applyFont="1" applyBorder="1"/>
    <xf numFmtId="0" fontId="3" fillId="0" borderId="1" xfId="0" applyFont="1" applyBorder="1"/>
    <xf numFmtId="0" fontId="8" fillId="2" borderId="0" xfId="0" applyFont="1" applyFill="1"/>
    <xf numFmtId="43" fontId="4" fillId="0" borderId="0" xfId="1" applyFont="1"/>
    <xf numFmtId="0" fontId="9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43" fontId="4" fillId="0" borderId="0" xfId="1" applyFont="1" applyBorder="1"/>
    <xf numFmtId="0" fontId="10" fillId="0" borderId="0" xfId="0" applyFont="1"/>
    <xf numFmtId="43" fontId="11" fillId="0" borderId="0" xfId="1" applyFont="1"/>
    <xf numFmtId="43" fontId="11" fillId="0" borderId="0" xfId="0" applyNumberFormat="1" applyFont="1"/>
    <xf numFmtId="43" fontId="5" fillId="0" borderId="0" xfId="1" applyFont="1" applyFill="1"/>
    <xf numFmtId="0" fontId="9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3" fillId="0" borderId="0" xfId="2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horizontal="right"/>
    </xf>
    <xf numFmtId="43" fontId="7" fillId="0" borderId="0" xfId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9" fontId="3" fillId="0" borderId="0" xfId="1" applyNumberFormat="1" applyFont="1"/>
    <xf numFmtId="169" fontId="0" fillId="0" borderId="0" xfId="1" applyNumberFormat="1" applyFont="1"/>
    <xf numFmtId="169" fontId="0" fillId="0" borderId="0" xfId="0" applyNumberFormat="1"/>
    <xf numFmtId="43" fontId="5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wind.org/task43/task-43-open-data/" TargetMode="External"/><Relationship Id="rId13" Type="http://schemas.openxmlformats.org/officeDocument/2006/relationships/hyperlink" Target="https://cogentdatahub.com/purchasing/" TargetMode="External"/><Relationship Id="rId18" Type="http://schemas.openxmlformats.org/officeDocument/2006/relationships/hyperlink" Target="https://www.caiso.com/systems-applications/portals-applications/open-access-same-time-information-system-oasis" TargetMode="External"/><Relationship Id="rId3" Type="http://schemas.openxmlformats.org/officeDocument/2006/relationships/hyperlink" Target="https://www.energydashboard.co.uk/live" TargetMode="External"/><Relationship Id="rId7" Type="http://schemas.openxmlformats.org/officeDocument/2006/relationships/hyperlink" Target="https://data.open-power-system-data.org/" TargetMode="External"/><Relationship Id="rId12" Type="http://schemas.openxmlformats.org/officeDocument/2006/relationships/hyperlink" Target="https://cogentdatahub.com/purchasing/" TargetMode="External"/><Relationship Id="rId17" Type="http://schemas.openxmlformats.org/officeDocument/2006/relationships/hyperlink" Target="https://www.yesenergy.com/blog/ontario-independent-electricity-system-operator" TargetMode="External"/><Relationship Id="rId2" Type="http://schemas.openxmlformats.org/officeDocument/2006/relationships/hyperlink" Target="https://adgefficiency.com/blog/elexon-api-uk-electricity-grid-data-with-python/" TargetMode="External"/><Relationship Id="rId16" Type="http://schemas.openxmlformats.org/officeDocument/2006/relationships/hyperlink" Target="https://bigdasolutions.com/en/blog/26/energy-saving-technology-for-the-industry/" TargetMode="External"/><Relationship Id="rId1" Type="http://schemas.openxmlformats.org/officeDocument/2006/relationships/hyperlink" Target="https://platform.openai.com/docs/pricing" TargetMode="External"/><Relationship Id="rId6" Type="http://schemas.openxmlformats.org/officeDocument/2006/relationships/hyperlink" Target="https://electricitycosts.org.uk/api/" TargetMode="External"/><Relationship Id="rId11" Type="http://schemas.openxmlformats.org/officeDocument/2006/relationships/hyperlink" Target="https://openenergyhub.ornl.gov/" TargetMode="External"/><Relationship Id="rId5" Type="http://schemas.openxmlformats.org/officeDocument/2006/relationships/hyperlink" Target="https://www.eia.gov/consumption/commercial/" TargetMode="External"/><Relationship Id="rId15" Type="http://schemas.openxmlformats.org/officeDocument/2006/relationships/hyperlink" Target="https://www.energyid.eu/en/pricing/" TargetMode="External"/><Relationship Id="rId10" Type="http://schemas.openxmlformats.org/officeDocument/2006/relationships/hyperlink" Target="https://www.kaggle.com/datasets/andreylss/residential-and-commercial-energy-cost-dataset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https://www.ukpowernetworks.co.uk/our-company/open-data-portal" TargetMode="External"/><Relationship Id="rId9" Type="http://schemas.openxmlformats.org/officeDocument/2006/relationships/hyperlink" Target="https://modoenergy.com/research/en/free-energy-market-data" TargetMode="External"/><Relationship Id="rId14" Type="http://schemas.openxmlformats.org/officeDocument/2006/relationships/hyperlink" Target="https://www.energyid.eu/en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4D36-7A47-4156-A370-A1A116B35520}">
  <dimension ref="B1:F72"/>
  <sheetViews>
    <sheetView showGridLines="0" topLeftCell="A45" zoomScale="70" zoomScaleNormal="80" workbookViewId="0">
      <selection activeCell="C11" sqref="C11"/>
    </sheetView>
  </sheetViews>
  <sheetFormatPr defaultRowHeight="14.5" x14ac:dyDescent="0.35"/>
  <cols>
    <col min="1" max="1" width="3.26953125" customWidth="1"/>
    <col min="2" max="2" width="42.6328125" bestFit="1" customWidth="1"/>
    <col min="3" max="3" width="10.81640625" bestFit="1" customWidth="1"/>
    <col min="6" max="6" width="45" bestFit="1" customWidth="1"/>
  </cols>
  <sheetData>
    <row r="1" spans="2:6" ht="9.5" customHeight="1" x14ac:dyDescent="0.35"/>
    <row r="2" spans="2:6" ht="16" x14ac:dyDescent="0.4">
      <c r="B2" s="20" t="s">
        <v>39</v>
      </c>
    </row>
    <row r="3" spans="2:6" x14ac:dyDescent="0.35">
      <c r="B3" s="18" t="s">
        <v>38</v>
      </c>
      <c r="C3" s="2" t="s">
        <v>0</v>
      </c>
      <c r="D3" s="2" t="s">
        <v>1</v>
      </c>
      <c r="E3" s="2" t="s">
        <v>2</v>
      </c>
      <c r="F3" s="2" t="s">
        <v>34</v>
      </c>
    </row>
    <row r="4" spans="2:6" x14ac:dyDescent="0.35">
      <c r="B4" s="8" t="s">
        <v>16</v>
      </c>
      <c r="C4" s="9"/>
      <c r="D4" s="9"/>
      <c r="E4" s="9"/>
      <c r="F4" s="10"/>
    </row>
    <row r="5" spans="2:6" x14ac:dyDescent="0.35">
      <c r="B5" s="6" t="s">
        <v>3</v>
      </c>
      <c r="C5" s="3">
        <f>C36</f>
        <v>0</v>
      </c>
      <c r="D5" s="3">
        <f t="shared" ref="D5:E5" si="0">D36</f>
        <v>0</v>
      </c>
      <c r="E5" s="3">
        <f t="shared" si="0"/>
        <v>0</v>
      </c>
      <c r="F5" s="10"/>
    </row>
    <row r="6" spans="2:6" x14ac:dyDescent="0.35">
      <c r="B6" s="6" t="s">
        <v>18</v>
      </c>
      <c r="C6" s="3">
        <f>C39</f>
        <v>0</v>
      </c>
      <c r="D6" s="3">
        <f t="shared" ref="D6:E6" si="1">D39</f>
        <v>0</v>
      </c>
      <c r="E6" s="3">
        <f t="shared" si="1"/>
        <v>0</v>
      </c>
      <c r="F6" s="10"/>
    </row>
    <row r="7" spans="2:6" ht="15" thickBot="1" x14ac:dyDescent="0.4">
      <c r="B7" s="4" t="s">
        <v>4</v>
      </c>
      <c r="C7" s="5">
        <f>SUM(C5:C6)</f>
        <v>0</v>
      </c>
      <c r="D7" s="5">
        <f>SUM(D5:D6)</f>
        <v>0</v>
      </c>
      <c r="E7" s="5">
        <f>SUM(E5:E6)</f>
        <v>0</v>
      </c>
      <c r="F7" s="10"/>
    </row>
    <row r="8" spans="2:6" x14ac:dyDescent="0.35">
      <c r="F8" s="10"/>
    </row>
    <row r="9" spans="2:6" x14ac:dyDescent="0.35">
      <c r="B9" s="8" t="s">
        <v>6</v>
      </c>
      <c r="C9" s="9"/>
      <c r="D9" s="9"/>
      <c r="E9" s="9"/>
      <c r="F9" s="10"/>
    </row>
    <row r="10" spans="2:6" x14ac:dyDescent="0.35">
      <c r="B10" s="6" t="s">
        <v>5</v>
      </c>
      <c r="C10" s="46">
        <f>C46*C34</f>
        <v>12816</v>
      </c>
      <c r="D10" s="46">
        <f t="shared" ref="D10:E10" si="2">D46*D34</f>
        <v>0</v>
      </c>
      <c r="E10" s="46">
        <f t="shared" si="2"/>
        <v>0</v>
      </c>
      <c r="F10" s="10"/>
    </row>
    <row r="11" spans="2:6" x14ac:dyDescent="0.35">
      <c r="B11" s="6" t="s">
        <v>19</v>
      </c>
      <c r="C11" s="46">
        <f>C50*C34</f>
        <v>460000</v>
      </c>
      <c r="D11" s="13">
        <f t="shared" ref="D11:E11" si="3">D50</f>
        <v>0</v>
      </c>
      <c r="E11" s="13">
        <f t="shared" si="3"/>
        <v>0</v>
      </c>
      <c r="F11" s="10"/>
    </row>
    <row r="12" spans="2:6" ht="15" thickBot="1" x14ac:dyDescent="0.4">
      <c r="B12" s="4" t="s">
        <v>6</v>
      </c>
      <c r="C12" s="4">
        <f>SUM(C10:C11)</f>
        <v>472816</v>
      </c>
      <c r="D12" s="4">
        <f t="shared" ref="D12:E12" si="4">SUM(D10:D11)</f>
        <v>0</v>
      </c>
      <c r="E12" s="4">
        <f t="shared" si="4"/>
        <v>0</v>
      </c>
      <c r="F12" s="10"/>
    </row>
    <row r="13" spans="2:6" x14ac:dyDescent="0.35">
      <c r="F13" s="10"/>
    </row>
    <row r="14" spans="2:6" ht="15" thickBot="1" x14ac:dyDescent="0.4">
      <c r="B14" s="4" t="s">
        <v>7</v>
      </c>
      <c r="C14" s="4">
        <f>C7+C12</f>
        <v>472816</v>
      </c>
      <c r="D14" s="4">
        <f>D7+D12</f>
        <v>0</v>
      </c>
      <c r="E14" s="4">
        <f>E7+E12</f>
        <v>0</v>
      </c>
      <c r="F14" s="10"/>
    </row>
    <row r="15" spans="2:6" x14ac:dyDescent="0.35">
      <c r="F15" s="10"/>
    </row>
    <row r="16" spans="2:6" x14ac:dyDescent="0.35">
      <c r="B16" s="8" t="s">
        <v>11</v>
      </c>
      <c r="C16" s="9"/>
      <c r="D16" s="9"/>
      <c r="E16" s="9"/>
      <c r="F16" s="10"/>
    </row>
    <row r="17" spans="2:6" x14ac:dyDescent="0.35">
      <c r="B17" s="6" t="s">
        <v>8</v>
      </c>
      <c r="C17" s="13">
        <f>C58</f>
        <v>0</v>
      </c>
      <c r="D17" s="13">
        <f t="shared" ref="D17:E17" si="5">D58</f>
        <v>0</v>
      </c>
      <c r="E17" s="13">
        <f t="shared" si="5"/>
        <v>0</v>
      </c>
      <c r="F17" s="10"/>
    </row>
    <row r="18" spans="2:6" x14ac:dyDescent="0.35">
      <c r="B18" s="6" t="s">
        <v>9</v>
      </c>
      <c r="C18" s="13">
        <f>C72</f>
        <v>0</v>
      </c>
      <c r="D18" s="13">
        <f t="shared" ref="D18:E18" si="6">D72</f>
        <v>0</v>
      </c>
      <c r="E18" s="13">
        <f t="shared" si="6"/>
        <v>0</v>
      </c>
      <c r="F18" s="10"/>
    </row>
    <row r="19" spans="2:6" x14ac:dyDescent="0.35">
      <c r="B19" s="6" t="s">
        <v>10</v>
      </c>
      <c r="C19" s="13">
        <f>C67</f>
        <v>0</v>
      </c>
      <c r="D19" s="13">
        <f t="shared" ref="D19:E19" si="7">D67</f>
        <v>0</v>
      </c>
      <c r="E19" s="13">
        <f t="shared" si="7"/>
        <v>0</v>
      </c>
      <c r="F19" s="10"/>
    </row>
    <row r="20" spans="2:6" ht="15" thickBot="1" x14ac:dyDescent="0.4">
      <c r="B20" s="4" t="s">
        <v>24</v>
      </c>
      <c r="C20" s="4">
        <f>C14+SUM(C17:C19)</f>
        <v>472816</v>
      </c>
      <c r="D20" s="4">
        <f t="shared" ref="D20:E20" si="8">D14+SUM(D17:D19)</f>
        <v>0</v>
      </c>
      <c r="E20" s="4">
        <f t="shared" si="8"/>
        <v>0</v>
      </c>
      <c r="F20" s="10"/>
    </row>
    <row r="21" spans="2:6" x14ac:dyDescent="0.35">
      <c r="B21" s="6" t="s">
        <v>23</v>
      </c>
      <c r="F21" s="10"/>
    </row>
    <row r="22" spans="2:6" ht="15" thickBot="1" x14ac:dyDescent="0.4">
      <c r="B22" s="4" t="s">
        <v>25</v>
      </c>
      <c r="C22" s="4">
        <f>C20+C21</f>
        <v>472816</v>
      </c>
      <c r="D22" s="4">
        <f t="shared" ref="D22:E22" si="9">D20+D21</f>
        <v>0</v>
      </c>
      <c r="E22" s="4">
        <f t="shared" si="9"/>
        <v>0</v>
      </c>
      <c r="F22" s="10"/>
    </row>
    <row r="23" spans="2:6" ht="9" customHeight="1" x14ac:dyDescent="0.35">
      <c r="B23" s="23"/>
      <c r="C23" s="23"/>
      <c r="D23" s="23"/>
      <c r="E23" s="23"/>
      <c r="F23" s="10"/>
    </row>
    <row r="24" spans="2:6" x14ac:dyDescent="0.35">
      <c r="B24" s="6" t="s">
        <v>12</v>
      </c>
      <c r="F24" s="10"/>
    </row>
    <row r="25" spans="2:6" x14ac:dyDescent="0.35">
      <c r="B25" s="6" t="s">
        <v>20</v>
      </c>
      <c r="F25" s="10"/>
    </row>
    <row r="26" spans="2:6" ht="15" thickBot="1" x14ac:dyDescent="0.4">
      <c r="B26" s="4" t="s">
        <v>14</v>
      </c>
      <c r="C26" s="4">
        <f>C22+SUM(C24:C25)</f>
        <v>472816</v>
      </c>
      <c r="D26" s="4">
        <f>D22+SUM(D24:D25)</f>
        <v>0</v>
      </c>
      <c r="E26" s="4">
        <f>E22+SUM(E24:E25)</f>
        <v>0</v>
      </c>
      <c r="F26" s="10"/>
    </row>
    <row r="27" spans="2:6" x14ac:dyDescent="0.35">
      <c r="B27" s="7" t="s">
        <v>13</v>
      </c>
      <c r="F27" s="10"/>
    </row>
    <row r="28" spans="2:6" ht="15" thickBot="1" x14ac:dyDescent="0.4">
      <c r="B28" s="4" t="s">
        <v>15</v>
      </c>
      <c r="C28" s="4">
        <f>C26+C27</f>
        <v>472816</v>
      </c>
      <c r="D28" s="4">
        <f>D26+D27</f>
        <v>0</v>
      </c>
      <c r="E28" s="4">
        <f>E26+E27</f>
        <v>0</v>
      </c>
      <c r="F28" s="10"/>
    </row>
    <row r="29" spans="2:6" x14ac:dyDescent="0.35">
      <c r="F29" s="10"/>
    </row>
    <row r="30" spans="2:6" x14ac:dyDescent="0.35">
      <c r="F30" s="10"/>
    </row>
    <row r="31" spans="2:6" ht="16" x14ac:dyDescent="0.4">
      <c r="B31" s="28" t="s">
        <v>53</v>
      </c>
      <c r="C31" s="28"/>
      <c r="D31" s="28"/>
      <c r="E31" s="28"/>
      <c r="F31" s="28"/>
    </row>
    <row r="32" spans="2:6" x14ac:dyDescent="0.35">
      <c r="B32" s="18" t="s">
        <v>38</v>
      </c>
      <c r="C32" s="2" t="s">
        <v>0</v>
      </c>
      <c r="D32" s="2" t="s">
        <v>1</v>
      </c>
      <c r="E32" s="2" t="s">
        <v>2</v>
      </c>
      <c r="F32" s="2" t="s">
        <v>34</v>
      </c>
    </row>
    <row r="33" spans="2:6" x14ac:dyDescent="0.35">
      <c r="B33" s="8" t="s">
        <v>32</v>
      </c>
      <c r="C33" s="9"/>
      <c r="D33" s="9"/>
      <c r="E33" s="9"/>
      <c r="F33" s="10"/>
    </row>
    <row r="34" spans="2:6" x14ac:dyDescent="0.35">
      <c r="B34" s="6" t="s">
        <v>129</v>
      </c>
      <c r="C34" s="3">
        <v>50</v>
      </c>
      <c r="D34" s="3">
        <v>100</v>
      </c>
      <c r="E34" s="3">
        <v>150</v>
      </c>
      <c r="F34" s="10"/>
    </row>
    <row r="35" spans="2:6" x14ac:dyDescent="0.35">
      <c r="B35" s="6" t="s">
        <v>131</v>
      </c>
      <c r="C35" s="3"/>
      <c r="D35" s="3"/>
      <c r="E35" s="3"/>
      <c r="F35" s="10"/>
    </row>
    <row r="36" spans="2:6" x14ac:dyDescent="0.35">
      <c r="B36" s="19" t="s">
        <v>17</v>
      </c>
      <c r="C36" s="12">
        <f>C34*C35</f>
        <v>0</v>
      </c>
      <c r="D36" s="12">
        <f t="shared" ref="D36:E36" si="10">D34*D35</f>
        <v>0</v>
      </c>
      <c r="E36" s="12">
        <f t="shared" si="10"/>
        <v>0</v>
      </c>
      <c r="F36" s="10"/>
    </row>
    <row r="37" spans="2:6" ht="9" customHeight="1" x14ac:dyDescent="0.35">
      <c r="B37" s="19"/>
      <c r="C37" s="12"/>
      <c r="D37" s="12"/>
      <c r="E37" s="12"/>
      <c r="F37" s="10"/>
    </row>
    <row r="38" spans="2:6" x14ac:dyDescent="0.35">
      <c r="B38" s="6" t="s">
        <v>21</v>
      </c>
      <c r="F38" s="10"/>
    </row>
    <row r="39" spans="2:6" x14ac:dyDescent="0.35">
      <c r="B39" s="19" t="s">
        <v>22</v>
      </c>
      <c r="C39" s="14">
        <f>C38*C34</f>
        <v>0</v>
      </c>
      <c r="D39" s="14">
        <f t="shared" ref="D39:E39" si="11">D38*D34</f>
        <v>0</v>
      </c>
      <c r="E39" s="14">
        <f t="shared" si="11"/>
        <v>0</v>
      </c>
      <c r="F39" s="10"/>
    </row>
    <row r="40" spans="2:6" x14ac:dyDescent="0.35">
      <c r="F40" s="10"/>
    </row>
    <row r="41" spans="2:6" x14ac:dyDescent="0.35">
      <c r="B41" s="8" t="s">
        <v>132</v>
      </c>
      <c r="C41" s="9"/>
      <c r="D41" s="9"/>
      <c r="E41" s="9"/>
      <c r="F41" s="10"/>
    </row>
    <row r="42" spans="2:6" x14ac:dyDescent="0.35">
      <c r="B42" s="11" t="s">
        <v>26</v>
      </c>
      <c r="C42" s="12">
        <f>'Cost of Sales Drivers'!D20</f>
        <v>244.8</v>
      </c>
      <c r="D42" s="12"/>
      <c r="E42" s="12"/>
      <c r="F42" s="10"/>
    </row>
    <row r="43" spans="2:6" x14ac:dyDescent="0.35">
      <c r="B43" s="6" t="s">
        <v>130</v>
      </c>
      <c r="C43" s="39">
        <f>'Cost of Sales Drivers'!D9*12</f>
        <v>11.52</v>
      </c>
      <c r="F43" s="10"/>
    </row>
    <row r="44" spans="2:6" x14ac:dyDescent="0.35">
      <c r="B44" s="6" t="s">
        <v>28</v>
      </c>
      <c r="C44" s="3">
        <f>'Cost of Sales Drivers'!B44</f>
        <v>0</v>
      </c>
      <c r="F44" s="10"/>
    </row>
    <row r="45" spans="2:6" x14ac:dyDescent="0.35">
      <c r="B45" s="11" t="s">
        <v>27</v>
      </c>
      <c r="C45" s="12">
        <f>SUM(C43:C44)</f>
        <v>11.52</v>
      </c>
      <c r="D45" s="12">
        <f t="shared" ref="D45:E45" si="12">SUM(D43:D44)</f>
        <v>0</v>
      </c>
      <c r="E45" s="12">
        <f t="shared" si="12"/>
        <v>0</v>
      </c>
      <c r="F45" s="10"/>
    </row>
    <row r="46" spans="2:6" x14ac:dyDescent="0.35">
      <c r="B46" s="19" t="s">
        <v>30</v>
      </c>
      <c r="C46" s="14">
        <f>C42+C45</f>
        <v>256.32</v>
      </c>
      <c r="D46" s="14">
        <f>D42+D45</f>
        <v>0</v>
      </c>
      <c r="E46" s="14">
        <f>E42+E45</f>
        <v>0</v>
      </c>
      <c r="F46" s="10"/>
    </row>
    <row r="47" spans="2:6" ht="9.5" customHeight="1" x14ac:dyDescent="0.35">
      <c r="B47" s="19"/>
      <c r="C47" s="14"/>
      <c r="D47" s="14"/>
      <c r="E47" s="14"/>
      <c r="F47" s="10"/>
    </row>
    <row r="48" spans="2:6" x14ac:dyDescent="0.35">
      <c r="B48" s="6" t="s">
        <v>29</v>
      </c>
      <c r="C48" s="44">
        <f>'Cost of Sales Drivers'!D54</f>
        <v>8200</v>
      </c>
      <c r="F48" s="10"/>
    </row>
    <row r="49" spans="2:6" x14ac:dyDescent="0.35">
      <c r="B49" s="6" t="s">
        <v>31</v>
      </c>
      <c r="C49" s="45">
        <f>'Cost of Sales Drivers'!B60</f>
        <v>1000</v>
      </c>
      <c r="F49" s="10"/>
    </row>
    <row r="50" spans="2:6" x14ac:dyDescent="0.35">
      <c r="B50" s="19" t="s">
        <v>19</v>
      </c>
      <c r="C50" s="43">
        <f>C48+C49</f>
        <v>9200</v>
      </c>
      <c r="D50" s="12">
        <f t="shared" ref="D50:E50" si="13">D48+D49</f>
        <v>0</v>
      </c>
      <c r="E50" s="12">
        <f t="shared" si="13"/>
        <v>0</v>
      </c>
      <c r="F50" s="10"/>
    </row>
    <row r="51" spans="2:6" x14ac:dyDescent="0.35">
      <c r="F51" s="10"/>
    </row>
    <row r="52" spans="2:6" x14ac:dyDescent="0.35">
      <c r="B52" s="8" t="s">
        <v>33</v>
      </c>
      <c r="C52" s="9"/>
      <c r="D52" s="9"/>
      <c r="E52" s="9"/>
      <c r="F52" s="10"/>
    </row>
    <row r="53" spans="2:6" x14ac:dyDescent="0.35">
      <c r="B53" s="6" t="s">
        <v>35</v>
      </c>
      <c r="C53" s="6"/>
      <c r="D53" s="6"/>
      <c r="E53" s="6"/>
      <c r="F53" s="10"/>
    </row>
    <row r="54" spans="2:6" x14ac:dyDescent="0.35">
      <c r="B54" s="6" t="s">
        <v>36</v>
      </c>
      <c r="C54" s="6"/>
      <c r="D54" s="6"/>
      <c r="E54" s="6"/>
      <c r="F54" s="10"/>
    </row>
    <row r="55" spans="2:6" x14ac:dyDescent="0.35">
      <c r="B55" s="6" t="s">
        <v>37</v>
      </c>
      <c r="C55" s="6"/>
      <c r="D55" s="6"/>
      <c r="E55" s="6"/>
      <c r="F55" s="10"/>
    </row>
    <row r="56" spans="2:6" x14ac:dyDescent="0.35">
      <c r="B56" s="6"/>
      <c r="C56" s="6"/>
      <c r="D56" s="6"/>
      <c r="E56" s="6"/>
      <c r="F56" s="10"/>
    </row>
    <row r="57" spans="2:6" x14ac:dyDescent="0.35">
      <c r="B57" s="6"/>
      <c r="C57" s="6"/>
      <c r="D57" s="6"/>
      <c r="E57" s="6"/>
      <c r="F57" s="10"/>
    </row>
    <row r="58" spans="2:6" x14ac:dyDescent="0.35">
      <c r="B58" s="11" t="s">
        <v>40</v>
      </c>
      <c r="C58" s="40">
        <f>SUM(C53:C55)</f>
        <v>0</v>
      </c>
      <c r="D58" s="40">
        <f t="shared" ref="D58:E58" si="14">SUM(D53:D55)</f>
        <v>0</v>
      </c>
      <c r="E58" s="40">
        <f t="shared" si="14"/>
        <v>0</v>
      </c>
      <c r="F58" s="10"/>
    </row>
    <row r="59" spans="2:6" ht="7.5" customHeight="1" x14ac:dyDescent="0.35">
      <c r="F59" s="10"/>
    </row>
    <row r="60" spans="2:6" x14ac:dyDescent="0.35">
      <c r="B60" s="27" t="s">
        <v>41</v>
      </c>
      <c r="F60" s="10"/>
    </row>
    <row r="61" spans="2:6" x14ac:dyDescent="0.35">
      <c r="B61" s="6" t="s">
        <v>42</v>
      </c>
      <c r="F61" s="10"/>
    </row>
    <row r="62" spans="2:6" x14ac:dyDescent="0.35">
      <c r="B62" s="6" t="s">
        <v>43</v>
      </c>
      <c r="F62" s="10"/>
    </row>
    <row r="63" spans="2:6" x14ac:dyDescent="0.35">
      <c r="B63" s="6" t="s">
        <v>44</v>
      </c>
      <c r="F63" s="10"/>
    </row>
    <row r="64" spans="2:6" x14ac:dyDescent="0.35">
      <c r="B64" s="6" t="s">
        <v>45</v>
      </c>
      <c r="F64" s="10"/>
    </row>
    <row r="65" spans="2:6" x14ac:dyDescent="0.35">
      <c r="B65" s="6" t="s">
        <v>46</v>
      </c>
      <c r="F65" s="10"/>
    </row>
    <row r="66" spans="2:6" x14ac:dyDescent="0.35">
      <c r="B66" s="6" t="s">
        <v>47</v>
      </c>
      <c r="F66" s="10"/>
    </row>
    <row r="67" spans="2:6" x14ac:dyDescent="0.35">
      <c r="B67" s="11" t="s">
        <v>48</v>
      </c>
      <c r="C67" s="12">
        <f>SUM(C60:C66)</f>
        <v>0</v>
      </c>
      <c r="D67" s="12">
        <f t="shared" ref="D67:E67" si="15">SUM(D60:D66)</f>
        <v>0</v>
      </c>
      <c r="E67" s="12">
        <f t="shared" si="15"/>
        <v>0</v>
      </c>
    </row>
    <row r="69" spans="2:6" x14ac:dyDescent="0.35">
      <c r="B69" s="6" t="s">
        <v>49</v>
      </c>
    </row>
    <row r="70" spans="2:6" x14ac:dyDescent="0.35">
      <c r="B70" s="6" t="s">
        <v>50</v>
      </c>
    </row>
    <row r="71" spans="2:6" x14ac:dyDescent="0.35">
      <c r="B71" s="6" t="s">
        <v>51</v>
      </c>
    </row>
    <row r="72" spans="2:6" x14ac:dyDescent="0.35">
      <c r="B72" s="11" t="s">
        <v>52</v>
      </c>
      <c r="C72" s="12">
        <f>SUM(C69:C71)</f>
        <v>0</v>
      </c>
      <c r="D72" s="12">
        <f t="shared" ref="D72:E72" si="16">SUM(D69:D71)</f>
        <v>0</v>
      </c>
      <c r="E72" s="12">
        <f t="shared" si="16"/>
        <v>0</v>
      </c>
    </row>
  </sheetData>
  <mergeCells count="1">
    <mergeCell ref="B31:F3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1C06-B18D-48C2-8EBB-DD8E5C264794}">
  <dimension ref="A2:F12"/>
  <sheetViews>
    <sheetView tabSelected="1" zoomScale="70" zoomScaleNormal="70" workbookViewId="0">
      <selection activeCell="D5" sqref="D5"/>
    </sheetView>
  </sheetViews>
  <sheetFormatPr defaultRowHeight="14.5" x14ac:dyDescent="0.35"/>
  <cols>
    <col min="1" max="1" width="42.1796875" bestFit="1" customWidth="1"/>
    <col min="2" max="2" width="27.26953125" bestFit="1" customWidth="1"/>
    <col min="3" max="3" width="28.7265625" bestFit="1" customWidth="1"/>
    <col min="4" max="4" width="28.7265625" customWidth="1"/>
    <col min="5" max="5" width="51.36328125" bestFit="1" customWidth="1"/>
    <col min="6" max="6" width="80" bestFit="1" customWidth="1"/>
    <col min="7" max="7" width="38.36328125" customWidth="1"/>
  </cols>
  <sheetData>
    <row r="2" spans="1:6" x14ac:dyDescent="0.35">
      <c r="A2" s="34" t="s">
        <v>297</v>
      </c>
      <c r="B2" s="34"/>
      <c r="C2" s="34"/>
      <c r="D2" s="34"/>
      <c r="E2" s="34"/>
      <c r="F2" s="34"/>
    </row>
    <row r="4" spans="1:6" x14ac:dyDescent="0.35">
      <c r="A4" s="29" t="s">
        <v>261</v>
      </c>
      <c r="B4" s="29" t="s">
        <v>298</v>
      </c>
      <c r="C4" s="29" t="s">
        <v>299</v>
      </c>
      <c r="D4" s="29" t="s">
        <v>323</v>
      </c>
      <c r="E4" s="29" t="s">
        <v>300</v>
      </c>
    </row>
    <row r="5" spans="1:6" x14ac:dyDescent="0.35">
      <c r="A5" s="37" t="s">
        <v>320</v>
      </c>
      <c r="B5" s="37">
        <v>1</v>
      </c>
      <c r="C5" s="37" t="s">
        <v>301</v>
      </c>
      <c r="D5" s="37"/>
      <c r="E5" s="37" t="s">
        <v>322</v>
      </c>
    </row>
    <row r="6" spans="1:6" x14ac:dyDescent="0.35">
      <c r="A6" s="37" t="s">
        <v>319</v>
      </c>
      <c r="B6" s="37">
        <v>1</v>
      </c>
      <c r="C6" s="37" t="s">
        <v>301</v>
      </c>
      <c r="D6" s="37"/>
      <c r="E6" s="37" t="s">
        <v>321</v>
      </c>
    </row>
    <row r="7" spans="1:6" x14ac:dyDescent="0.35">
      <c r="A7" s="37" t="s">
        <v>302</v>
      </c>
      <c r="B7" s="37">
        <v>1</v>
      </c>
      <c r="C7" s="37" t="s">
        <v>303</v>
      </c>
      <c r="D7" s="37"/>
      <c r="E7" s="37" t="s">
        <v>304</v>
      </c>
    </row>
    <row r="8" spans="1:6" x14ac:dyDescent="0.35">
      <c r="A8" s="37" t="s">
        <v>305</v>
      </c>
      <c r="B8" s="37">
        <v>1</v>
      </c>
      <c r="C8" s="37" t="s">
        <v>306</v>
      </c>
      <c r="D8" s="37"/>
      <c r="E8" s="37" t="s">
        <v>307</v>
      </c>
    </row>
    <row r="9" spans="1:6" x14ac:dyDescent="0.35">
      <c r="A9" s="37" t="s">
        <v>308</v>
      </c>
      <c r="B9" s="37">
        <v>0.5</v>
      </c>
      <c r="C9" s="37" t="s">
        <v>309</v>
      </c>
      <c r="D9" s="37"/>
      <c r="E9" s="37" t="s">
        <v>310</v>
      </c>
    </row>
    <row r="10" spans="1:6" x14ac:dyDescent="0.35">
      <c r="A10" s="37" t="s">
        <v>311</v>
      </c>
      <c r="B10" s="37">
        <v>1</v>
      </c>
      <c r="C10" s="37" t="s">
        <v>312</v>
      </c>
      <c r="D10" s="37"/>
      <c r="E10" s="37" t="s">
        <v>313</v>
      </c>
    </row>
    <row r="11" spans="1:6" x14ac:dyDescent="0.35">
      <c r="A11" s="37" t="s">
        <v>314</v>
      </c>
      <c r="B11" s="37">
        <v>0.3</v>
      </c>
      <c r="C11" s="37" t="s">
        <v>315</v>
      </c>
      <c r="D11" s="37"/>
      <c r="E11" s="37" t="s">
        <v>316</v>
      </c>
    </row>
    <row r="12" spans="1:6" x14ac:dyDescent="0.35">
      <c r="A12" s="37" t="s">
        <v>176</v>
      </c>
      <c r="B12" s="37" t="s">
        <v>317</v>
      </c>
      <c r="C12" s="37" t="s">
        <v>318</v>
      </c>
      <c r="D12" s="37"/>
      <c r="E12" s="37" t="s">
        <v>147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A724-7DC5-4127-836B-B4C3DDFA35C3}">
  <dimension ref="A2:F60"/>
  <sheetViews>
    <sheetView topLeftCell="A42" zoomScale="70" zoomScaleNormal="70" workbookViewId="0">
      <selection activeCell="A45" sqref="A45"/>
    </sheetView>
  </sheetViews>
  <sheetFormatPr defaultRowHeight="14.5" x14ac:dyDescent="0.35"/>
  <cols>
    <col min="1" max="1" width="42.1796875" bestFit="1" customWidth="1"/>
    <col min="2" max="2" width="27.26953125" bestFit="1" customWidth="1"/>
    <col min="3" max="3" width="28.7265625" bestFit="1" customWidth="1"/>
    <col min="4" max="4" width="30.7265625" bestFit="1" customWidth="1"/>
    <col min="5" max="5" width="80" bestFit="1" customWidth="1"/>
    <col min="6" max="6" width="38.36328125" customWidth="1"/>
  </cols>
  <sheetData>
    <row r="2" spans="1:5" x14ac:dyDescent="0.35">
      <c r="A2" s="34" t="s">
        <v>133</v>
      </c>
      <c r="B2" s="34"/>
      <c r="C2" s="34"/>
      <c r="D2" s="34"/>
      <c r="E2" s="34"/>
    </row>
    <row r="4" spans="1:5" x14ac:dyDescent="0.35">
      <c r="A4" s="1" t="s">
        <v>149</v>
      </c>
    </row>
    <row r="5" spans="1:5" x14ac:dyDescent="0.35">
      <c r="A5" s="29" t="s">
        <v>134</v>
      </c>
      <c r="B5" s="29" t="s">
        <v>135</v>
      </c>
      <c r="C5" s="29" t="s">
        <v>136</v>
      </c>
      <c r="D5" s="29" t="s">
        <v>137</v>
      </c>
      <c r="E5" s="29" t="s">
        <v>177</v>
      </c>
    </row>
    <row r="6" spans="1:5" x14ac:dyDescent="0.35">
      <c r="A6" t="s">
        <v>138</v>
      </c>
      <c r="B6" s="10" t="s">
        <v>139</v>
      </c>
      <c r="C6" s="10">
        <v>1.25E-3</v>
      </c>
      <c r="D6" s="10" t="s">
        <v>140</v>
      </c>
      <c r="E6" s="33" t="s">
        <v>178</v>
      </c>
    </row>
    <row r="7" spans="1:5" x14ac:dyDescent="0.35">
      <c r="A7" t="s">
        <v>141</v>
      </c>
      <c r="B7" s="10" t="s">
        <v>142</v>
      </c>
      <c r="C7" s="10">
        <v>2.5000000000000001E-3</v>
      </c>
      <c r="D7" s="10" t="s">
        <v>143</v>
      </c>
      <c r="E7" s="33"/>
    </row>
    <row r="8" spans="1:5" x14ac:dyDescent="0.35">
      <c r="A8" t="s">
        <v>144</v>
      </c>
      <c r="B8" s="10" t="s">
        <v>145</v>
      </c>
      <c r="C8" s="10" t="s">
        <v>146</v>
      </c>
      <c r="D8" s="10" t="s">
        <v>147</v>
      </c>
      <c r="E8" s="33"/>
    </row>
    <row r="9" spans="1:5" ht="15" thickBot="1" x14ac:dyDescent="0.4">
      <c r="A9" s="17" t="s">
        <v>148</v>
      </c>
      <c r="B9" s="30" t="s">
        <v>147</v>
      </c>
      <c r="C9" s="30">
        <v>3.0000000000000001E-3</v>
      </c>
      <c r="D9" s="30">
        <v>0.96</v>
      </c>
      <c r="E9" s="33"/>
    </row>
    <row r="11" spans="1:5" x14ac:dyDescent="0.35">
      <c r="A11" s="1" t="s">
        <v>150</v>
      </c>
    </row>
    <row r="12" spans="1:5" x14ac:dyDescent="0.35">
      <c r="A12" s="29" t="s">
        <v>151</v>
      </c>
      <c r="B12" s="29" t="s">
        <v>152</v>
      </c>
      <c r="C12" s="29" t="s">
        <v>153</v>
      </c>
      <c r="D12" s="29" t="s">
        <v>154</v>
      </c>
      <c r="E12" s="29" t="s">
        <v>177</v>
      </c>
    </row>
    <row r="13" spans="1:5" x14ac:dyDescent="0.35">
      <c r="A13" t="s">
        <v>155</v>
      </c>
      <c r="B13" s="10" t="s">
        <v>156</v>
      </c>
      <c r="C13" s="10" t="s">
        <v>157</v>
      </c>
      <c r="D13" s="10" t="s">
        <v>158</v>
      </c>
      <c r="E13" s="32" t="s">
        <v>179</v>
      </c>
    </row>
    <row r="14" spans="1:5" x14ac:dyDescent="0.35">
      <c r="A14" t="s">
        <v>159</v>
      </c>
      <c r="B14" s="10" t="s">
        <v>160</v>
      </c>
      <c r="C14" s="10" t="s">
        <v>161</v>
      </c>
      <c r="D14" s="10" t="s">
        <v>162</v>
      </c>
      <c r="E14" s="32"/>
    </row>
    <row r="15" spans="1:5" x14ac:dyDescent="0.35">
      <c r="A15" t="s">
        <v>163</v>
      </c>
      <c r="B15" s="10" t="s">
        <v>157</v>
      </c>
      <c r="C15" s="10" t="s">
        <v>164</v>
      </c>
      <c r="D15" s="10" t="s">
        <v>165</v>
      </c>
      <c r="E15" s="32"/>
    </row>
    <row r="16" spans="1:5" x14ac:dyDescent="0.35">
      <c r="A16" t="s">
        <v>166</v>
      </c>
      <c r="B16" s="10" t="s">
        <v>167</v>
      </c>
      <c r="C16" s="10" t="s">
        <v>168</v>
      </c>
      <c r="D16" s="10" t="s">
        <v>169</v>
      </c>
      <c r="E16" s="32"/>
    </row>
    <row r="17" spans="1:5" x14ac:dyDescent="0.35">
      <c r="A17" t="s">
        <v>170</v>
      </c>
      <c r="B17" s="10" t="s">
        <v>167</v>
      </c>
      <c r="C17" s="10" t="s">
        <v>168</v>
      </c>
      <c r="D17" s="10" t="s">
        <v>169</v>
      </c>
      <c r="E17" s="32"/>
    </row>
    <row r="18" spans="1:5" x14ac:dyDescent="0.35">
      <c r="A18" t="s">
        <v>171</v>
      </c>
      <c r="B18" s="10" t="s">
        <v>157</v>
      </c>
      <c r="C18" s="10" t="s">
        <v>164</v>
      </c>
      <c r="D18" s="10" t="s">
        <v>165</v>
      </c>
      <c r="E18" s="32"/>
    </row>
    <row r="19" spans="1:5" x14ac:dyDescent="0.35">
      <c r="A19" t="s">
        <v>172</v>
      </c>
      <c r="B19" s="10" t="s">
        <v>173</v>
      </c>
      <c r="C19" s="10" t="s">
        <v>174</v>
      </c>
      <c r="D19" s="10" t="s">
        <v>175</v>
      </c>
      <c r="E19" s="32"/>
    </row>
    <row r="20" spans="1:5" ht="15" thickBot="1" x14ac:dyDescent="0.4">
      <c r="A20" s="17" t="s">
        <v>176</v>
      </c>
      <c r="B20" s="30">
        <v>102</v>
      </c>
      <c r="C20" s="30">
        <v>20.399999999999999</v>
      </c>
      <c r="D20" s="30">
        <v>244.8</v>
      </c>
      <c r="E20" s="32"/>
    </row>
    <row r="22" spans="1:5" x14ac:dyDescent="0.35">
      <c r="A22" s="1" t="s">
        <v>180</v>
      </c>
    </row>
    <row r="23" spans="1:5" x14ac:dyDescent="0.35">
      <c r="A23" s="29" t="s">
        <v>181</v>
      </c>
      <c r="B23" s="29" t="s">
        <v>182</v>
      </c>
      <c r="C23" s="35" t="s">
        <v>183</v>
      </c>
      <c r="D23" s="35"/>
      <c r="E23" s="29" t="s">
        <v>184</v>
      </c>
    </row>
    <row r="24" spans="1:5" ht="58" customHeight="1" x14ac:dyDescent="0.35">
      <c r="A24" s="37" t="s">
        <v>185</v>
      </c>
      <c r="B24" s="37" t="s">
        <v>186</v>
      </c>
      <c r="C24" s="31" t="s">
        <v>187</v>
      </c>
      <c r="D24" s="31"/>
      <c r="E24" s="38" t="s">
        <v>188</v>
      </c>
    </row>
    <row r="25" spans="1:5" ht="58" customHeight="1" x14ac:dyDescent="0.35">
      <c r="A25" s="37" t="s">
        <v>189</v>
      </c>
      <c r="B25" s="37" t="s">
        <v>186</v>
      </c>
      <c r="C25" s="31" t="s">
        <v>190</v>
      </c>
      <c r="D25" s="31"/>
      <c r="E25" s="38" t="s">
        <v>191</v>
      </c>
    </row>
    <row r="26" spans="1:5" ht="58" customHeight="1" x14ac:dyDescent="0.35">
      <c r="A26" s="37" t="s">
        <v>192</v>
      </c>
      <c r="B26" s="37" t="s">
        <v>186</v>
      </c>
      <c r="C26" s="31" t="s">
        <v>193</v>
      </c>
      <c r="D26" s="31"/>
      <c r="E26" s="38" t="s">
        <v>194</v>
      </c>
    </row>
    <row r="27" spans="1:5" ht="72.5" customHeight="1" x14ac:dyDescent="0.35">
      <c r="A27" s="37" t="s">
        <v>195</v>
      </c>
      <c r="B27" s="37" t="s">
        <v>186</v>
      </c>
      <c r="C27" s="31" t="s">
        <v>196</v>
      </c>
      <c r="D27" s="31"/>
      <c r="E27" s="38" t="s">
        <v>197</v>
      </c>
    </row>
    <row r="28" spans="1:5" ht="58" customHeight="1" x14ac:dyDescent="0.35">
      <c r="A28" s="37" t="s">
        <v>198</v>
      </c>
      <c r="B28" s="37" t="s">
        <v>186</v>
      </c>
      <c r="C28" s="31" t="s">
        <v>199</v>
      </c>
      <c r="D28" s="31"/>
      <c r="E28" s="38" t="s">
        <v>200</v>
      </c>
    </row>
    <row r="29" spans="1:5" ht="58" customHeight="1" x14ac:dyDescent="0.35">
      <c r="A29" s="37" t="s">
        <v>201</v>
      </c>
      <c r="B29" s="37" t="s">
        <v>186</v>
      </c>
      <c r="C29" s="31" t="s">
        <v>202</v>
      </c>
      <c r="D29" s="31"/>
      <c r="E29" s="38" t="s">
        <v>203</v>
      </c>
    </row>
    <row r="30" spans="1:5" ht="58" customHeight="1" x14ac:dyDescent="0.35">
      <c r="A30" s="37" t="s">
        <v>204</v>
      </c>
      <c r="B30" s="37" t="s">
        <v>186</v>
      </c>
      <c r="C30" s="31" t="s">
        <v>205</v>
      </c>
      <c r="D30" s="31"/>
      <c r="E30" s="38" t="s">
        <v>206</v>
      </c>
    </row>
    <row r="31" spans="1:5" ht="58" customHeight="1" x14ac:dyDescent="0.35">
      <c r="A31" s="37" t="s">
        <v>207</v>
      </c>
      <c r="B31" s="37" t="s">
        <v>186</v>
      </c>
      <c r="C31" s="31" t="s">
        <v>208</v>
      </c>
      <c r="D31" s="31"/>
      <c r="E31" s="38" t="s">
        <v>209</v>
      </c>
    </row>
    <row r="32" spans="1:5" ht="43.5" customHeight="1" x14ac:dyDescent="0.35">
      <c r="A32" s="37" t="s">
        <v>210</v>
      </c>
      <c r="B32" s="37" t="s">
        <v>186</v>
      </c>
      <c r="C32" s="31" t="s">
        <v>211</v>
      </c>
      <c r="D32" s="31"/>
      <c r="E32" s="38" t="s">
        <v>212</v>
      </c>
    </row>
    <row r="33" spans="1:6" ht="58" customHeight="1" x14ac:dyDescent="0.35">
      <c r="A33" s="37" t="s">
        <v>213</v>
      </c>
      <c r="B33" s="37" t="s">
        <v>186</v>
      </c>
      <c r="C33" s="31" t="s">
        <v>214</v>
      </c>
      <c r="D33" s="31"/>
      <c r="E33" s="38" t="s">
        <v>215</v>
      </c>
    </row>
    <row r="34" spans="1:6" x14ac:dyDescent="0.35">
      <c r="A34" s="29" t="s">
        <v>181</v>
      </c>
      <c r="B34" s="29" t="s">
        <v>182</v>
      </c>
      <c r="C34" s="35" t="s">
        <v>183</v>
      </c>
      <c r="D34" s="35"/>
      <c r="E34" s="29" t="s">
        <v>184</v>
      </c>
      <c r="F34" s="29" t="s">
        <v>216</v>
      </c>
    </row>
    <row r="35" spans="1:6" ht="58.5" customHeight="1" x14ac:dyDescent="0.35">
      <c r="A35" s="37" t="s">
        <v>217</v>
      </c>
      <c r="B35" s="37" t="s">
        <v>218</v>
      </c>
      <c r="C35" s="31" t="s">
        <v>219</v>
      </c>
      <c r="D35" s="31"/>
      <c r="E35" s="38" t="s">
        <v>221</v>
      </c>
      <c r="F35" s="36" t="s">
        <v>220</v>
      </c>
    </row>
    <row r="36" spans="1:6" ht="58.5" customHeight="1" x14ac:dyDescent="0.35">
      <c r="A36" s="37" t="s">
        <v>222</v>
      </c>
      <c r="B36" s="37" t="s">
        <v>223</v>
      </c>
      <c r="C36" s="31" t="s">
        <v>224</v>
      </c>
      <c r="D36" s="31"/>
      <c r="E36" s="38" t="s">
        <v>226</v>
      </c>
      <c r="F36" s="36" t="s">
        <v>225</v>
      </c>
    </row>
    <row r="37" spans="1:6" ht="44" customHeight="1" x14ac:dyDescent="0.35">
      <c r="A37" s="37" t="s">
        <v>227</v>
      </c>
      <c r="B37" s="37" t="s">
        <v>228</v>
      </c>
      <c r="C37" s="31" t="s">
        <v>229</v>
      </c>
      <c r="D37" s="31"/>
      <c r="E37" s="38" t="s">
        <v>231</v>
      </c>
      <c r="F37" s="36" t="s">
        <v>230</v>
      </c>
    </row>
    <row r="38" spans="1:6" ht="44" customHeight="1" x14ac:dyDescent="0.35">
      <c r="A38" s="37" t="s">
        <v>232</v>
      </c>
      <c r="B38" s="37" t="s">
        <v>233</v>
      </c>
      <c r="C38" s="31" t="s">
        <v>234</v>
      </c>
      <c r="D38" s="31"/>
      <c r="E38" s="38" t="s">
        <v>236</v>
      </c>
      <c r="F38" s="36" t="s">
        <v>235</v>
      </c>
    </row>
    <row r="39" spans="1:6" ht="43.5" customHeight="1" x14ac:dyDescent="0.35">
      <c r="A39" s="37" t="s">
        <v>237</v>
      </c>
      <c r="B39" s="37" t="s">
        <v>238</v>
      </c>
      <c r="C39" s="31" t="s">
        <v>239</v>
      </c>
      <c r="D39" s="31"/>
      <c r="E39" s="37"/>
      <c r="F39" s="36" t="s">
        <v>240</v>
      </c>
    </row>
    <row r="40" spans="1:6" ht="43.5" customHeight="1" x14ac:dyDescent="0.35">
      <c r="A40" s="37" t="s">
        <v>241</v>
      </c>
      <c r="B40" s="37" t="s">
        <v>242</v>
      </c>
      <c r="C40" s="31" t="s">
        <v>243</v>
      </c>
      <c r="D40" s="31"/>
      <c r="E40" s="37"/>
      <c r="F40" s="37" t="s">
        <v>244</v>
      </c>
    </row>
    <row r="41" spans="1:6" ht="29" customHeight="1" x14ac:dyDescent="0.35">
      <c r="A41" s="37" t="s">
        <v>245</v>
      </c>
      <c r="B41" s="37" t="s">
        <v>246</v>
      </c>
      <c r="C41" s="31" t="s">
        <v>247</v>
      </c>
      <c r="D41" s="31"/>
      <c r="E41" s="37"/>
      <c r="F41" s="37" t="s">
        <v>248</v>
      </c>
    </row>
    <row r="43" spans="1:6" x14ac:dyDescent="0.35">
      <c r="A43" s="29" t="s">
        <v>259</v>
      </c>
      <c r="B43" s="29" t="s">
        <v>260</v>
      </c>
      <c r="C43" s="29" t="s">
        <v>249</v>
      </c>
      <c r="D43" s="29" t="s">
        <v>177</v>
      </c>
    </row>
    <row r="44" spans="1:6" ht="43.5" x14ac:dyDescent="0.35">
      <c r="A44" s="37" t="s">
        <v>250</v>
      </c>
      <c r="B44" s="37">
        <v>0</v>
      </c>
      <c r="C44" s="36" t="s">
        <v>251</v>
      </c>
      <c r="D44" s="36" t="s">
        <v>252</v>
      </c>
    </row>
    <row r="45" spans="1:6" ht="58" x14ac:dyDescent="0.35">
      <c r="A45" s="37" t="s">
        <v>253</v>
      </c>
      <c r="B45" s="37">
        <v>3500</v>
      </c>
      <c r="C45" s="36" t="s">
        <v>254</v>
      </c>
      <c r="D45" s="36" t="s">
        <v>255</v>
      </c>
    </row>
    <row r="46" spans="1:6" ht="43.5" x14ac:dyDescent="0.35">
      <c r="A46" s="37" t="s">
        <v>256</v>
      </c>
      <c r="B46" s="37">
        <v>15000</v>
      </c>
      <c r="C46" s="36" t="s">
        <v>257</v>
      </c>
      <c r="D46" s="36" t="s">
        <v>258</v>
      </c>
    </row>
    <row r="48" spans="1:6" x14ac:dyDescent="0.35">
      <c r="A48" s="41" t="s">
        <v>282</v>
      </c>
    </row>
    <row r="49" spans="1:5" x14ac:dyDescent="0.35">
      <c r="A49" s="29" t="s">
        <v>261</v>
      </c>
      <c r="B49" s="29" t="s">
        <v>262</v>
      </c>
      <c r="C49" s="29" t="s">
        <v>263</v>
      </c>
      <c r="D49" s="29" t="s">
        <v>264</v>
      </c>
      <c r="E49" s="29" t="s">
        <v>177</v>
      </c>
    </row>
    <row r="50" spans="1:5" x14ac:dyDescent="0.35">
      <c r="A50" s="37" t="s">
        <v>265</v>
      </c>
      <c r="B50" s="37" t="s">
        <v>266</v>
      </c>
      <c r="C50" s="37" t="s">
        <v>267</v>
      </c>
      <c r="D50" s="37" t="s">
        <v>268</v>
      </c>
      <c r="E50" s="32" t="s">
        <v>283</v>
      </c>
    </row>
    <row r="51" spans="1:5" x14ac:dyDescent="0.35">
      <c r="A51" s="37" t="s">
        <v>269</v>
      </c>
      <c r="B51" s="37" t="s">
        <v>270</v>
      </c>
      <c r="C51" s="37" t="s">
        <v>271</v>
      </c>
      <c r="D51" s="37" t="s">
        <v>272</v>
      </c>
      <c r="E51" s="32"/>
    </row>
    <row r="52" spans="1:5" x14ac:dyDescent="0.35">
      <c r="A52" s="37" t="s">
        <v>273</v>
      </c>
      <c r="B52" s="37" t="s">
        <v>274</v>
      </c>
      <c r="C52" s="37" t="s">
        <v>275</v>
      </c>
      <c r="D52" s="37" t="s">
        <v>276</v>
      </c>
      <c r="E52" s="32"/>
    </row>
    <row r="53" spans="1:5" x14ac:dyDescent="0.35">
      <c r="A53" s="37" t="s">
        <v>277</v>
      </c>
      <c r="B53" s="37" t="s">
        <v>278</v>
      </c>
      <c r="C53" s="37" t="s">
        <v>279</v>
      </c>
      <c r="D53" s="37" t="s">
        <v>280</v>
      </c>
      <c r="E53" s="32"/>
    </row>
    <row r="54" spans="1:5" ht="15" thickBot="1" x14ac:dyDescent="0.4">
      <c r="A54" s="42" t="s">
        <v>281</v>
      </c>
      <c r="B54" s="42" t="s">
        <v>147</v>
      </c>
      <c r="C54" s="42" t="s">
        <v>147</v>
      </c>
      <c r="D54" s="42">
        <v>8200</v>
      </c>
      <c r="E54" s="32"/>
    </row>
    <row r="56" spans="1:5" x14ac:dyDescent="0.35">
      <c r="A56" s="29" t="s">
        <v>295</v>
      </c>
      <c r="B56" s="29" t="s">
        <v>284</v>
      </c>
      <c r="C56" s="29" t="s">
        <v>285</v>
      </c>
    </row>
    <row r="57" spans="1:5" x14ac:dyDescent="0.35">
      <c r="A57" s="37" t="s">
        <v>286</v>
      </c>
      <c r="B57" s="37" t="s">
        <v>287</v>
      </c>
      <c r="C57" s="37" t="s">
        <v>288</v>
      </c>
    </row>
    <row r="58" spans="1:5" x14ac:dyDescent="0.35">
      <c r="A58" s="37" t="s">
        <v>289</v>
      </c>
      <c r="B58" s="37" t="s">
        <v>290</v>
      </c>
      <c r="C58" s="37" t="s">
        <v>291</v>
      </c>
    </row>
    <row r="59" spans="1:5" x14ac:dyDescent="0.35">
      <c r="A59" s="37" t="s">
        <v>292</v>
      </c>
      <c r="B59" s="37" t="s">
        <v>293</v>
      </c>
      <c r="C59" s="37" t="s">
        <v>294</v>
      </c>
    </row>
    <row r="60" spans="1:5" ht="15" thickBot="1" x14ac:dyDescent="0.4">
      <c r="A60" s="42" t="s">
        <v>296</v>
      </c>
      <c r="B60" s="42">
        <v>1000</v>
      </c>
      <c r="C60" s="42" t="s">
        <v>147</v>
      </c>
    </row>
  </sheetData>
  <mergeCells count="23">
    <mergeCell ref="C39:D39"/>
    <mergeCell ref="C40:D40"/>
    <mergeCell ref="C41:D41"/>
    <mergeCell ref="C34:D34"/>
    <mergeCell ref="E50:E54"/>
    <mergeCell ref="C32:D32"/>
    <mergeCell ref="C33:D33"/>
    <mergeCell ref="C35:D35"/>
    <mergeCell ref="C36:D36"/>
    <mergeCell ref="C37:D37"/>
    <mergeCell ref="C38:D38"/>
    <mergeCell ref="C26:D26"/>
    <mergeCell ref="C27:D27"/>
    <mergeCell ref="C28:D28"/>
    <mergeCell ref="C29:D29"/>
    <mergeCell ref="C30:D30"/>
    <mergeCell ref="C31:D31"/>
    <mergeCell ref="E13:E20"/>
    <mergeCell ref="E6:E9"/>
    <mergeCell ref="A2:E2"/>
    <mergeCell ref="C23:D23"/>
    <mergeCell ref="C24:D24"/>
    <mergeCell ref="C25:D25"/>
  </mergeCells>
  <hyperlinks>
    <hyperlink ref="E6" r:id="rId1" xr:uid="{A4E6FC4F-5451-4B60-A5EF-821668F54884}"/>
    <hyperlink ref="E24" r:id="rId2" xr:uid="{58799DE3-A7D9-46F6-9B9D-43F0CA8186C1}"/>
    <hyperlink ref="E25" r:id="rId3" xr:uid="{CA7155A7-9C98-4B25-86D6-59DB23A75F62}"/>
    <hyperlink ref="E26" r:id="rId4" xr:uid="{D8B5783C-1875-4DE1-AEA3-6B77CAD9D351}"/>
    <hyperlink ref="E27" r:id="rId5" xr:uid="{2A8E9141-706E-4433-8F24-E0F8B53E734B}"/>
    <hyperlink ref="E28" r:id="rId6" xr:uid="{F38133C2-7F91-40FE-AC94-3B185C650A3E}"/>
    <hyperlink ref="E29" r:id="rId7" xr:uid="{5263EB04-21C8-407E-A3B7-614D36868774}"/>
    <hyperlink ref="E30" r:id="rId8" xr:uid="{9D110438-48D7-4118-8DF3-EA9DB7DCAF6F}"/>
    <hyperlink ref="E31" r:id="rId9" xr:uid="{878E75A3-5CC0-41E9-9A53-6D3B24C84CDC}"/>
    <hyperlink ref="E32" r:id="rId10" xr:uid="{6D3C992F-74A1-4E9C-AF78-934FD4BD2219}"/>
    <hyperlink ref="E33" r:id="rId11" xr:uid="{0DA682AF-0D7E-4E51-8A92-23DE2D841E82}"/>
    <hyperlink ref="F35" r:id="rId12" display="https://cogentdatahub.com/purchasing/" xr:uid="{EA9E8A27-2274-4E9C-8524-0D0ACFD12AF6}"/>
    <hyperlink ref="E35" r:id="rId13" xr:uid="{0199FFAD-0885-4DA4-8349-C30D6E34CA56}"/>
    <hyperlink ref="F36" r:id="rId14" display="https://www.energyid.eu/en/pricing/" xr:uid="{BFA1C7CC-6216-457C-9577-84B6B4D38AA0}"/>
    <hyperlink ref="E36" r:id="rId15" xr:uid="{553165D3-EDC3-406E-B177-23511FFA5CF2}"/>
    <hyperlink ref="F38" r:id="rId16" display="https://bigdasolutions.com/en/blog/26/energy-saving-technology-for-the-industry/" xr:uid="{EC7ED4F8-C7D7-412A-9DCA-9E996E0127D1}"/>
    <hyperlink ref="F40" r:id="rId17" display="https://www.yesenergy.com/blog/ontario-independent-electricity-system-operator" xr:uid="{8C0BC48E-FF1C-4C4B-B602-EBBDE5A42D3E}"/>
    <hyperlink ref="F41" r:id="rId18" display="https://www.caiso.com/systems-applications/portals-applications/open-access-same-time-information-system-oasis" xr:uid="{6F1EF578-C276-4563-811F-2B13F7977370}"/>
  </hyperlinks>
  <pageMargins left="0.7" right="0.7" top="0.75" bottom="0.75" header="0.3" footer="0.3"/>
  <pageSetup orientation="portrait"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2554-3C67-4C06-BE3F-CE8C096AF6DC}">
  <dimension ref="B1:F55"/>
  <sheetViews>
    <sheetView showGridLines="0" topLeftCell="A10" zoomScale="70" zoomScaleNormal="70" workbookViewId="0">
      <selection activeCell="G51" sqref="G51"/>
    </sheetView>
  </sheetViews>
  <sheetFormatPr defaultRowHeight="14.5" x14ac:dyDescent="0.35"/>
  <cols>
    <col min="1" max="1" width="3.36328125" customWidth="1"/>
    <col min="2" max="2" width="30.90625" bestFit="1" customWidth="1"/>
    <col min="6" max="6" width="32.90625" bestFit="1" customWidth="1"/>
  </cols>
  <sheetData>
    <row r="1" spans="2:6" ht="10" customHeight="1" x14ac:dyDescent="0.35"/>
    <row r="2" spans="2:6" ht="16" x14ac:dyDescent="0.4">
      <c r="B2" s="20" t="s">
        <v>54</v>
      </c>
    </row>
    <row r="3" spans="2:6" x14ac:dyDescent="0.35">
      <c r="B3" s="18" t="s">
        <v>38</v>
      </c>
      <c r="C3" s="2" t="s">
        <v>0</v>
      </c>
      <c r="D3" s="2" t="s">
        <v>1</v>
      </c>
      <c r="E3" s="2" t="s">
        <v>2</v>
      </c>
      <c r="F3" s="2" t="s">
        <v>34</v>
      </c>
    </row>
    <row r="4" spans="2:6" x14ac:dyDescent="0.35">
      <c r="B4" s="8" t="s">
        <v>55</v>
      </c>
      <c r="C4" s="8"/>
      <c r="D4" s="8"/>
      <c r="E4" s="8"/>
    </row>
    <row r="5" spans="2:6" x14ac:dyDescent="0.35">
      <c r="B5" s="21" t="s">
        <v>57</v>
      </c>
      <c r="C5" s="13">
        <f>'Cashflow Statement'!C29</f>
        <v>472816</v>
      </c>
      <c r="D5" s="13">
        <f>'Cashflow Statement'!D29</f>
        <v>472816</v>
      </c>
      <c r="E5" s="13">
        <f>'Cashflow Statement'!E29</f>
        <v>472816</v>
      </c>
    </row>
    <row r="6" spans="2:6" x14ac:dyDescent="0.35">
      <c r="B6" s="21" t="s">
        <v>58</v>
      </c>
      <c r="C6" s="13">
        <f>C43</f>
        <v>0</v>
      </c>
      <c r="D6" s="13">
        <f t="shared" ref="D6:E6" si="0">D43</f>
        <v>0</v>
      </c>
      <c r="E6" s="13">
        <f t="shared" si="0"/>
        <v>0</v>
      </c>
    </row>
    <row r="7" spans="2:6" x14ac:dyDescent="0.35">
      <c r="B7" s="21" t="s">
        <v>59</v>
      </c>
      <c r="F7" s="10" t="s">
        <v>97</v>
      </c>
    </row>
    <row r="8" spans="2:6" x14ac:dyDescent="0.35">
      <c r="B8" s="21" t="s">
        <v>60</v>
      </c>
      <c r="F8" s="10" t="s">
        <v>61</v>
      </c>
    </row>
    <row r="9" spans="2:6" x14ac:dyDescent="0.35">
      <c r="B9" s="1" t="s">
        <v>56</v>
      </c>
      <c r="C9" s="3">
        <f>SUM(C5:C8)</f>
        <v>472816</v>
      </c>
      <c r="D9" s="3">
        <f t="shared" ref="D9:E9" si="1">SUM(D5:D8)</f>
        <v>472816</v>
      </c>
      <c r="E9" s="3">
        <f t="shared" si="1"/>
        <v>472816</v>
      </c>
    </row>
    <row r="10" spans="2:6" ht="6.5" customHeight="1" x14ac:dyDescent="0.35">
      <c r="B10" s="1"/>
      <c r="C10" s="3"/>
      <c r="D10" s="3"/>
      <c r="E10" s="3"/>
    </row>
    <row r="11" spans="2:6" x14ac:dyDescent="0.35">
      <c r="B11" s="21" t="s">
        <v>62</v>
      </c>
      <c r="C11" s="13">
        <f>C51</f>
        <v>0</v>
      </c>
      <c r="D11" s="13">
        <f t="shared" ref="D11:E11" si="2">D51</f>
        <v>0</v>
      </c>
      <c r="E11" s="13">
        <f t="shared" si="2"/>
        <v>0</v>
      </c>
      <c r="F11" s="10" t="s">
        <v>63</v>
      </c>
    </row>
    <row r="12" spans="2:6" x14ac:dyDescent="0.35">
      <c r="B12" s="21" t="s">
        <v>64</v>
      </c>
      <c r="C12" s="13">
        <f>C47</f>
        <v>0</v>
      </c>
      <c r="D12" s="13">
        <f t="shared" ref="D12:E12" si="3">D47</f>
        <v>0</v>
      </c>
      <c r="E12" s="13">
        <f t="shared" si="3"/>
        <v>0</v>
      </c>
      <c r="F12" s="10" t="s">
        <v>65</v>
      </c>
    </row>
    <row r="13" spans="2:6" x14ac:dyDescent="0.35">
      <c r="B13" s="1" t="s">
        <v>66</v>
      </c>
      <c r="C13" s="3">
        <f>SUM(C11:C12)</f>
        <v>0</v>
      </c>
      <c r="D13" s="3">
        <f t="shared" ref="D13:E13" si="4">SUM(D11:D12)</f>
        <v>0</v>
      </c>
      <c r="E13" s="3">
        <f t="shared" si="4"/>
        <v>0</v>
      </c>
    </row>
    <row r="14" spans="2:6" ht="15" thickBot="1" x14ac:dyDescent="0.4">
      <c r="B14" s="17" t="s">
        <v>67</v>
      </c>
      <c r="C14" s="16">
        <f>C13+C9</f>
        <v>472816</v>
      </c>
      <c r="D14" s="16">
        <f t="shared" ref="D14:E14" si="5">D13+D9</f>
        <v>472816</v>
      </c>
      <c r="E14" s="16">
        <f t="shared" si="5"/>
        <v>472816</v>
      </c>
    </row>
    <row r="16" spans="2:6" x14ac:dyDescent="0.35">
      <c r="B16" s="8" t="s">
        <v>68</v>
      </c>
      <c r="C16" s="8"/>
      <c r="D16" s="8"/>
      <c r="E16" s="8"/>
    </row>
    <row r="17" spans="2:6" x14ac:dyDescent="0.35">
      <c r="B17" s="21" t="s">
        <v>69</v>
      </c>
      <c r="F17" s="10" t="s">
        <v>70</v>
      </c>
    </row>
    <row r="18" spans="2:6" x14ac:dyDescent="0.35">
      <c r="B18" s="21" t="s">
        <v>71</v>
      </c>
    </row>
    <row r="19" spans="2:6" x14ac:dyDescent="0.35">
      <c r="B19" s="21" t="s">
        <v>72</v>
      </c>
      <c r="F19" s="10" t="s">
        <v>73</v>
      </c>
    </row>
    <row r="20" spans="2:6" x14ac:dyDescent="0.35">
      <c r="B20" s="21" t="s">
        <v>74</v>
      </c>
      <c r="F20" s="10" t="s">
        <v>75</v>
      </c>
    </row>
    <row r="21" spans="2:6" x14ac:dyDescent="0.35">
      <c r="B21" s="1" t="s">
        <v>76</v>
      </c>
      <c r="C21" s="3">
        <f>SUM(C17:C20)</f>
        <v>0</v>
      </c>
      <c r="D21" s="3">
        <f t="shared" ref="D21:E21" si="6">SUM(D17:D20)</f>
        <v>0</v>
      </c>
      <c r="E21" s="3">
        <f t="shared" si="6"/>
        <v>0</v>
      </c>
    </row>
    <row r="22" spans="2:6" ht="6.5" customHeight="1" x14ac:dyDescent="0.35"/>
    <row r="23" spans="2:6" x14ac:dyDescent="0.35">
      <c r="B23" s="21" t="s">
        <v>77</v>
      </c>
      <c r="F23" s="10" t="s">
        <v>70</v>
      </c>
    </row>
    <row r="24" spans="2:6" x14ac:dyDescent="0.35">
      <c r="B24" s="21" t="s">
        <v>78</v>
      </c>
      <c r="F24" s="10" t="s">
        <v>79</v>
      </c>
    </row>
    <row r="25" spans="2:6" x14ac:dyDescent="0.35">
      <c r="B25" s="21" t="s">
        <v>80</v>
      </c>
      <c r="F25" s="10" t="s">
        <v>81</v>
      </c>
    </row>
    <row r="26" spans="2:6" x14ac:dyDescent="0.35">
      <c r="B26" s="1" t="s">
        <v>82</v>
      </c>
      <c r="C26" s="3">
        <f>SUM(C23:C25)</f>
        <v>0</v>
      </c>
      <c r="D26" s="3">
        <f t="shared" ref="D26:E26" si="7">SUM(D23:D25)</f>
        <v>0</v>
      </c>
      <c r="E26" s="3">
        <f t="shared" si="7"/>
        <v>0</v>
      </c>
    </row>
    <row r="27" spans="2:6" ht="15" thickBot="1" x14ac:dyDescent="0.4">
      <c r="B27" s="17" t="s">
        <v>83</v>
      </c>
      <c r="C27" s="15">
        <f>C21+C26</f>
        <v>0</v>
      </c>
      <c r="D27" s="15">
        <f t="shared" ref="D27:E27" si="8">D21+D26</f>
        <v>0</v>
      </c>
      <c r="E27" s="15">
        <f t="shared" si="8"/>
        <v>0</v>
      </c>
    </row>
    <row r="29" spans="2:6" x14ac:dyDescent="0.35">
      <c r="B29" s="8" t="s">
        <v>84</v>
      </c>
      <c r="C29" s="8"/>
      <c r="D29" s="8"/>
      <c r="E29" s="8"/>
    </row>
    <row r="30" spans="2:6" x14ac:dyDescent="0.35">
      <c r="B30" s="21" t="s">
        <v>85</v>
      </c>
      <c r="F30" s="10" t="s">
        <v>92</v>
      </c>
    </row>
    <row r="31" spans="2:6" x14ac:dyDescent="0.35">
      <c r="B31" s="21" t="s">
        <v>86</v>
      </c>
      <c r="F31" s="10" t="s">
        <v>87</v>
      </c>
    </row>
    <row r="32" spans="2:6" x14ac:dyDescent="0.35">
      <c r="B32" s="24" t="s">
        <v>89</v>
      </c>
      <c r="C32" s="25">
        <v>0</v>
      </c>
      <c r="D32" s="25">
        <f>C34</f>
        <v>472816</v>
      </c>
      <c r="E32" s="25">
        <f t="shared" ref="E32" si="9">D34</f>
        <v>472816</v>
      </c>
    </row>
    <row r="33" spans="2:6" x14ac:dyDescent="0.35">
      <c r="B33" s="24" t="s">
        <v>90</v>
      </c>
      <c r="C33" s="26">
        <f>'Income Statement'!C28</f>
        <v>472816</v>
      </c>
      <c r="D33" s="26">
        <f>'Income Statement'!D28</f>
        <v>0</v>
      </c>
      <c r="E33" s="26">
        <f>'Income Statement'!E28</f>
        <v>0</v>
      </c>
    </row>
    <row r="34" spans="2:6" x14ac:dyDescent="0.35">
      <c r="B34" s="21" t="s">
        <v>88</v>
      </c>
      <c r="C34" s="13">
        <f>SUM(C32:C33)</f>
        <v>472816</v>
      </c>
      <c r="D34" s="13">
        <f t="shared" ref="D34:E34" si="10">SUM(D32:D33)</f>
        <v>472816</v>
      </c>
      <c r="E34" s="13">
        <f t="shared" si="10"/>
        <v>472816</v>
      </c>
    </row>
    <row r="35" spans="2:6" ht="15" thickBot="1" x14ac:dyDescent="0.4">
      <c r="B35" s="17" t="s">
        <v>91</v>
      </c>
      <c r="C35" s="15">
        <f>C30+C31+C33</f>
        <v>472816</v>
      </c>
      <c r="D35" s="15">
        <f t="shared" ref="D35:E35" si="11">D30+D31+D33</f>
        <v>0</v>
      </c>
      <c r="E35" s="15">
        <f t="shared" si="11"/>
        <v>0</v>
      </c>
    </row>
    <row r="38" spans="2:6" ht="16" x14ac:dyDescent="0.4">
      <c r="B38" s="28" t="s">
        <v>93</v>
      </c>
      <c r="C38" s="28"/>
      <c r="D38" s="28"/>
      <c r="E38" s="28"/>
      <c r="F38" s="28"/>
    </row>
    <row r="39" spans="2:6" x14ac:dyDescent="0.35">
      <c r="B39" s="18" t="s">
        <v>38</v>
      </c>
      <c r="C39" s="2" t="s">
        <v>0</v>
      </c>
      <c r="D39" s="2" t="s">
        <v>1</v>
      </c>
      <c r="E39" s="2" t="s">
        <v>2</v>
      </c>
      <c r="F39" s="2" t="s">
        <v>34</v>
      </c>
    </row>
    <row r="40" spans="2:6" x14ac:dyDescent="0.35">
      <c r="B40" s="18"/>
      <c r="C40" s="2"/>
      <c r="D40" s="2"/>
      <c r="E40" s="2"/>
      <c r="F40" s="2"/>
    </row>
    <row r="41" spans="2:6" x14ac:dyDescent="0.35">
      <c r="B41" s="8" t="s">
        <v>55</v>
      </c>
      <c r="C41" s="8"/>
      <c r="D41" s="8"/>
      <c r="E41" s="8"/>
      <c r="F41" s="22"/>
    </row>
    <row r="42" spans="2:6" x14ac:dyDescent="0.35">
      <c r="B42" s="21" t="s">
        <v>95</v>
      </c>
      <c r="F42" s="10" t="s">
        <v>96</v>
      </c>
    </row>
    <row r="43" spans="2:6" x14ac:dyDescent="0.35">
      <c r="B43" s="1" t="s">
        <v>94</v>
      </c>
      <c r="C43" s="14">
        <f>'Income Statement'!C7*(C42/265)</f>
        <v>0</v>
      </c>
      <c r="D43" s="14">
        <f>'Income Statement'!D7*(D42/265)</f>
        <v>0</v>
      </c>
      <c r="E43" s="14">
        <f>'Income Statement'!E7*(E42/265)</f>
        <v>0</v>
      </c>
      <c r="F43" s="10"/>
    </row>
    <row r="44" spans="2:6" ht="6" customHeight="1" x14ac:dyDescent="0.35">
      <c r="F44" s="10"/>
    </row>
    <row r="45" spans="2:6" x14ac:dyDescent="0.35">
      <c r="B45" s="21" t="s">
        <v>98</v>
      </c>
      <c r="F45" s="10" t="s">
        <v>101</v>
      </c>
    </row>
    <row r="46" spans="2:6" x14ac:dyDescent="0.35">
      <c r="B46" s="21" t="s">
        <v>99</v>
      </c>
      <c r="F46" s="10"/>
    </row>
    <row r="47" spans="2:6" x14ac:dyDescent="0.35">
      <c r="B47" s="1" t="s">
        <v>100</v>
      </c>
      <c r="C47" s="12">
        <f>C45-C46</f>
        <v>0</v>
      </c>
      <c r="D47" s="12">
        <f t="shared" ref="D47:E47" si="12">D45-D46</f>
        <v>0</v>
      </c>
      <c r="E47" s="12">
        <f t="shared" si="12"/>
        <v>0</v>
      </c>
      <c r="F47" s="10"/>
    </row>
    <row r="48" spans="2:6" ht="6" customHeight="1" x14ac:dyDescent="0.35">
      <c r="F48" s="10"/>
    </row>
    <row r="49" spans="2:6" x14ac:dyDescent="0.35">
      <c r="B49" t="s">
        <v>102</v>
      </c>
      <c r="F49" s="10"/>
    </row>
    <row r="50" spans="2:6" x14ac:dyDescent="0.35">
      <c r="B50" t="s">
        <v>103</v>
      </c>
      <c r="F50" s="10"/>
    </row>
    <row r="51" spans="2:6" x14ac:dyDescent="0.35">
      <c r="B51" s="1" t="s">
        <v>104</v>
      </c>
      <c r="C51" s="12">
        <f>C49-C50</f>
        <v>0</v>
      </c>
      <c r="D51" s="12">
        <f t="shared" ref="D51:E51" si="13">D49-D50</f>
        <v>0</v>
      </c>
      <c r="E51" s="12">
        <f t="shared" si="13"/>
        <v>0</v>
      </c>
      <c r="F51" s="10"/>
    </row>
    <row r="52" spans="2:6" x14ac:dyDescent="0.35">
      <c r="F52" s="10"/>
    </row>
    <row r="53" spans="2:6" x14ac:dyDescent="0.35">
      <c r="B53" s="8" t="s">
        <v>68</v>
      </c>
      <c r="C53" s="8"/>
      <c r="D53" s="8"/>
      <c r="E53" s="8"/>
      <c r="F53" s="10"/>
    </row>
    <row r="54" spans="2:6" x14ac:dyDescent="0.35">
      <c r="B54" t="s">
        <v>105</v>
      </c>
      <c r="F54" s="10" t="s">
        <v>96</v>
      </c>
    </row>
    <row r="55" spans="2:6" x14ac:dyDescent="0.35">
      <c r="B55" s="1" t="s">
        <v>71</v>
      </c>
      <c r="C55" s="14">
        <f>'Income Statement'!C7*(C54/265)</f>
        <v>0</v>
      </c>
      <c r="D55" s="14">
        <f>'Income Statement'!D7*(D54/265)</f>
        <v>0</v>
      </c>
      <c r="E55" s="14">
        <f>'Income Statement'!E7*(E54/265)</f>
        <v>0</v>
      </c>
      <c r="F55" s="10"/>
    </row>
  </sheetData>
  <mergeCells count="1">
    <mergeCell ref="B38: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6A60-CCA7-4A05-B464-D9EF47CBE1B5}">
  <dimension ref="B1:F29"/>
  <sheetViews>
    <sheetView showGridLines="0" zoomScale="70" zoomScaleNormal="70" workbookViewId="0">
      <selection activeCell="F23" sqref="F23"/>
    </sheetView>
  </sheetViews>
  <sheetFormatPr defaultRowHeight="14.5" x14ac:dyDescent="0.35"/>
  <cols>
    <col min="1" max="1" width="2.81640625" customWidth="1"/>
    <col min="2" max="2" width="39" bestFit="1" customWidth="1"/>
    <col min="6" max="6" width="35" customWidth="1"/>
  </cols>
  <sheetData>
    <row r="1" spans="2:6" ht="9.5" customHeight="1" x14ac:dyDescent="0.35"/>
    <row r="2" spans="2:6" ht="16" x14ac:dyDescent="0.4">
      <c r="B2" s="20" t="s">
        <v>106</v>
      </c>
    </row>
    <row r="3" spans="2:6" x14ac:dyDescent="0.35">
      <c r="B3" s="18" t="s">
        <v>38</v>
      </c>
      <c r="C3" s="2" t="s">
        <v>0</v>
      </c>
      <c r="D3" s="2" t="s">
        <v>1</v>
      </c>
      <c r="E3" s="2" t="s">
        <v>2</v>
      </c>
      <c r="F3" s="2" t="s">
        <v>34</v>
      </c>
    </row>
    <row r="4" spans="2:6" x14ac:dyDescent="0.35">
      <c r="B4" s="8" t="s">
        <v>114</v>
      </c>
      <c r="C4" s="8"/>
      <c r="D4" s="8"/>
      <c r="E4" s="8"/>
    </row>
    <row r="5" spans="2:6" x14ac:dyDescent="0.35">
      <c r="B5" t="s">
        <v>90</v>
      </c>
      <c r="C5" s="13">
        <f>'Income Statement'!C28</f>
        <v>472816</v>
      </c>
      <c r="D5" s="13">
        <f>'Income Statement'!D28</f>
        <v>0</v>
      </c>
      <c r="E5" s="13">
        <f>'Income Statement'!E28</f>
        <v>0</v>
      </c>
    </row>
    <row r="6" spans="2:6" x14ac:dyDescent="0.35">
      <c r="B6" t="s">
        <v>107</v>
      </c>
      <c r="C6" s="3">
        <f>'Income Statement'!C21</f>
        <v>0</v>
      </c>
      <c r="D6" s="3">
        <f>'Income Statement'!D21</f>
        <v>0</v>
      </c>
      <c r="E6" s="3">
        <f>'Income Statement'!E21</f>
        <v>0</v>
      </c>
    </row>
    <row r="7" spans="2:6" x14ac:dyDescent="0.35">
      <c r="B7" t="s">
        <v>108</v>
      </c>
      <c r="C7" s="3">
        <v>0</v>
      </c>
      <c r="D7" s="13">
        <f>-('Balance Sheet'!D6-'Balance Sheet'!C6)</f>
        <v>0</v>
      </c>
      <c r="E7" s="13">
        <f>-('Balance Sheet'!E6-'Balance Sheet'!D6)</f>
        <v>0</v>
      </c>
    </row>
    <row r="8" spans="2:6" x14ac:dyDescent="0.35">
      <c r="B8" t="s">
        <v>109</v>
      </c>
      <c r="C8" s="3">
        <v>0</v>
      </c>
      <c r="D8" s="3">
        <f>-('Balance Sheet'!D7-'Balance Sheet'!C7)</f>
        <v>0</v>
      </c>
      <c r="E8" s="3">
        <f>-('Balance Sheet'!E7-'Balance Sheet'!D7)</f>
        <v>0</v>
      </c>
    </row>
    <row r="9" spans="2:6" x14ac:dyDescent="0.35">
      <c r="B9" t="s">
        <v>110</v>
      </c>
      <c r="C9" s="3">
        <v>0</v>
      </c>
      <c r="D9" s="3">
        <f>'Balance Sheet'!D18-'Balance Sheet'!C18</f>
        <v>0</v>
      </c>
      <c r="E9" s="3">
        <f>'Balance Sheet'!E18-'Balance Sheet'!D18</f>
        <v>0</v>
      </c>
    </row>
    <row r="10" spans="2:6" x14ac:dyDescent="0.35">
      <c r="B10" t="s">
        <v>111</v>
      </c>
      <c r="C10" s="3">
        <v>0</v>
      </c>
      <c r="D10" s="3">
        <f>'Balance Sheet'!D19-'Balance Sheet'!C19</f>
        <v>0</v>
      </c>
      <c r="E10" s="3">
        <f>'Balance Sheet'!E19-'Balance Sheet'!D19</f>
        <v>0</v>
      </c>
    </row>
    <row r="11" spans="2:6" x14ac:dyDescent="0.35">
      <c r="B11" t="s">
        <v>112</v>
      </c>
      <c r="C11" s="3">
        <v>0</v>
      </c>
      <c r="D11" s="3">
        <f>'Balance Sheet'!D20-'Balance Sheet'!C20</f>
        <v>0</v>
      </c>
      <c r="E11" s="3">
        <f>'Balance Sheet'!E20-'Balance Sheet'!D20</f>
        <v>0</v>
      </c>
    </row>
    <row r="12" spans="2:6" ht="15" thickBot="1" x14ac:dyDescent="0.4">
      <c r="B12" s="17" t="s">
        <v>113</v>
      </c>
      <c r="C12" s="15">
        <f>SUM(C5:C11)</f>
        <v>472816</v>
      </c>
      <c r="D12" s="15">
        <f t="shared" ref="D12:E12" si="0">SUM(D5:D11)</f>
        <v>0</v>
      </c>
      <c r="E12" s="15">
        <f t="shared" si="0"/>
        <v>0</v>
      </c>
    </row>
    <row r="14" spans="2:6" x14ac:dyDescent="0.35">
      <c r="B14" s="8" t="s">
        <v>115</v>
      </c>
      <c r="C14" s="8"/>
      <c r="D14" s="8"/>
      <c r="E14" s="8"/>
    </row>
    <row r="15" spans="2:6" x14ac:dyDescent="0.35">
      <c r="B15" t="s">
        <v>116</v>
      </c>
      <c r="C15" s="13">
        <f>'Balance Sheet'!C49</f>
        <v>0</v>
      </c>
      <c r="D15" s="13">
        <f>'Balance Sheet'!D49</f>
        <v>0</v>
      </c>
      <c r="E15" s="13">
        <f>'Balance Sheet'!E49</f>
        <v>0</v>
      </c>
    </row>
    <row r="16" spans="2:6" x14ac:dyDescent="0.35">
      <c r="B16" t="s">
        <v>117</v>
      </c>
      <c r="C16" s="3">
        <f>'Balance Sheet'!C45</f>
        <v>0</v>
      </c>
      <c r="D16" s="3">
        <f>'Balance Sheet'!D45</f>
        <v>0</v>
      </c>
      <c r="E16" s="3">
        <f>'Balance Sheet'!E45</f>
        <v>0</v>
      </c>
    </row>
    <row r="17" spans="2:6" ht="15" thickBot="1" x14ac:dyDescent="0.4">
      <c r="B17" s="17" t="s">
        <v>113</v>
      </c>
      <c r="C17" s="16">
        <f>SUM(C15:C16)</f>
        <v>0</v>
      </c>
      <c r="D17" s="16">
        <f t="shared" ref="D17:E17" si="1">SUM(D15:D16)</f>
        <v>0</v>
      </c>
      <c r="E17" s="16">
        <f t="shared" si="1"/>
        <v>0</v>
      </c>
    </row>
    <row r="19" spans="2:6" x14ac:dyDescent="0.35">
      <c r="B19" s="8" t="s">
        <v>118</v>
      </c>
      <c r="C19" s="8"/>
      <c r="D19" s="8"/>
      <c r="E19" s="8"/>
    </row>
    <row r="20" spans="2:6" x14ac:dyDescent="0.35">
      <c r="B20" t="s">
        <v>119</v>
      </c>
      <c r="F20" s="10" t="s">
        <v>128</v>
      </c>
    </row>
    <row r="21" spans="2:6" x14ac:dyDescent="0.35">
      <c r="B21" t="s">
        <v>120</v>
      </c>
      <c r="F21" s="10"/>
    </row>
    <row r="22" spans="2:6" x14ac:dyDescent="0.35">
      <c r="B22" t="s">
        <v>121</v>
      </c>
      <c r="F22" s="10"/>
    </row>
    <row r="23" spans="2:6" x14ac:dyDescent="0.35">
      <c r="B23" t="s">
        <v>122</v>
      </c>
      <c r="F23" s="10"/>
    </row>
    <row r="24" spans="2:6" ht="15" thickBot="1" x14ac:dyDescent="0.4">
      <c r="B24" s="17" t="s">
        <v>123</v>
      </c>
      <c r="C24" s="16">
        <f>SUM(C20:C23)</f>
        <v>0</v>
      </c>
      <c r="D24" s="16">
        <f t="shared" ref="D24:E24" si="2">SUM(D20:D23)</f>
        <v>0</v>
      </c>
      <c r="E24" s="16">
        <f t="shared" si="2"/>
        <v>0</v>
      </c>
      <c r="F24" s="10"/>
    </row>
    <row r="25" spans="2:6" x14ac:dyDescent="0.35">
      <c r="F25" s="10"/>
    </row>
    <row r="26" spans="2:6" x14ac:dyDescent="0.35">
      <c r="B26" t="s">
        <v>124</v>
      </c>
      <c r="C26" s="13">
        <f>C12+C17+C24</f>
        <v>472816</v>
      </c>
      <c r="D26" s="13">
        <f t="shared" ref="D26:E26" si="3">D12+D17+D24</f>
        <v>0</v>
      </c>
      <c r="E26" s="13">
        <f t="shared" si="3"/>
        <v>0</v>
      </c>
      <c r="F26" s="10"/>
    </row>
    <row r="27" spans="2:6" x14ac:dyDescent="0.35">
      <c r="B27" t="s">
        <v>125</v>
      </c>
      <c r="D27" s="13">
        <f>C29</f>
        <v>472816</v>
      </c>
      <c r="E27" s="13">
        <f>D29</f>
        <v>472816</v>
      </c>
      <c r="F27" s="10" t="s">
        <v>127</v>
      </c>
    </row>
    <row r="28" spans="2:6" x14ac:dyDescent="0.35">
      <c r="F28" s="10"/>
    </row>
    <row r="29" spans="2:6" ht="15" thickBot="1" x14ac:dyDescent="0.4">
      <c r="B29" s="16" t="s">
        <v>126</v>
      </c>
      <c r="C29" s="16">
        <f>C27+C26</f>
        <v>472816</v>
      </c>
      <c r="D29" s="16">
        <f t="shared" ref="D29:E29" si="4">D27+D26</f>
        <v>472816</v>
      </c>
      <c r="E29" s="16">
        <f t="shared" si="4"/>
        <v>472816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Employee Costs</vt:lpstr>
      <vt:lpstr>Cost of Sales Drivers</vt:lpstr>
      <vt:lpstr>Balance Sheet</vt:lpstr>
      <vt:lpstr>Cashflow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Mazumdar</dc:creator>
  <cp:lastModifiedBy>Abhishek Mazumdar</cp:lastModifiedBy>
  <dcterms:created xsi:type="dcterms:W3CDTF">2025-12-28T12:12:37Z</dcterms:created>
  <dcterms:modified xsi:type="dcterms:W3CDTF">2026-01-08T23:18:34Z</dcterms:modified>
</cp:coreProperties>
</file>